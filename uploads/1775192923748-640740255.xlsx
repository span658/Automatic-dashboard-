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1570" windowHeight="7545"/>
  </bookViews>
  <sheets>
    <sheet name=" Salesmanwise Outstd Report" sheetId="1" r:id="rId1"/>
    <sheet name="gst 22.01.2026 " sheetId="7" state="hidden" r:id="rId2"/>
    <sheet name="Sheet4" sheetId="5" state="hidden" r:id="rId3"/>
    <sheet name="Sheet3" sheetId="4" state="hidden" r:id="rId4"/>
    <sheet name="Sheet1" sheetId="2" state="hidden" r:id="rId5"/>
    <sheet name="Sheet2" sheetId="3" state="hidden" r:id="rId6"/>
  </sheets>
  <definedNames>
    <definedName name="_xlnm._FilterDatabase" localSheetId="0" hidden="1">' Salesmanwise Outstd Report'!$A$1:$X$287</definedName>
    <definedName name="_xlnm._FilterDatabase" localSheetId="1" hidden="1">'gst 22.01.2026 '!$A$1:$O$151</definedName>
    <definedName name="_xlnm._FilterDatabase" localSheetId="2" hidden="1">Sheet4!$A$1:$M$142</definedName>
    <definedName name="_xlnm.Print_Area" localSheetId="0">' Salesmanwise Outstd Report'!$A$193:$M$294</definedName>
  </definedNames>
  <calcPr calcId="152511"/>
</workbook>
</file>

<file path=xl/calcChain.xml><?xml version="1.0" encoding="utf-8"?>
<calcChain xmlns="http://schemas.openxmlformats.org/spreadsheetml/2006/main">
  <c r="B3" i="1" l="1"/>
  <c r="D3" i="1" s="1"/>
  <c r="B4" i="1"/>
  <c r="D4" i="1" s="1"/>
  <c r="B5" i="1"/>
  <c r="D5" i="1" s="1"/>
  <c r="B6" i="1"/>
  <c r="D6" i="1" s="1"/>
  <c r="B7" i="1"/>
  <c r="D7" i="1" s="1"/>
  <c r="B8" i="1"/>
  <c r="B9" i="1"/>
  <c r="D9" i="1" s="1"/>
  <c r="B10" i="1"/>
  <c r="D10" i="1" s="1"/>
  <c r="B11" i="1"/>
  <c r="D11" i="1" s="1"/>
  <c r="B12" i="1"/>
  <c r="D12" i="1" s="1"/>
  <c r="B13" i="1"/>
  <c r="B14" i="1"/>
  <c r="D14" i="1" s="1"/>
  <c r="B15" i="1"/>
  <c r="D15" i="1" s="1"/>
  <c r="B16" i="1"/>
  <c r="D16" i="1" s="1"/>
  <c r="B17" i="1"/>
  <c r="D17" i="1" s="1"/>
  <c r="B18" i="1"/>
  <c r="D18" i="1" s="1"/>
  <c r="B19" i="1"/>
  <c r="D19" i="1" s="1"/>
  <c r="B20" i="1"/>
  <c r="D20" i="1" s="1"/>
  <c r="B21" i="1"/>
  <c r="D21" i="1" s="1"/>
  <c r="B22" i="1"/>
  <c r="D22" i="1" s="1"/>
  <c r="B23" i="1"/>
  <c r="D23" i="1" s="1"/>
  <c r="B24" i="1"/>
  <c r="D24" i="1" s="1"/>
  <c r="B25" i="1"/>
  <c r="D25" i="1" s="1"/>
  <c r="B26" i="1"/>
  <c r="D26" i="1" s="1"/>
  <c r="B27" i="1"/>
  <c r="D27" i="1" s="1"/>
  <c r="B28" i="1"/>
  <c r="D28" i="1" s="1"/>
  <c r="B29" i="1"/>
  <c r="D29" i="1" s="1"/>
  <c r="B30" i="1"/>
  <c r="D30" i="1" s="1"/>
  <c r="B31" i="1"/>
  <c r="D31" i="1" s="1"/>
  <c r="B32" i="1"/>
  <c r="D32" i="1" s="1"/>
  <c r="B33" i="1"/>
  <c r="D33" i="1" s="1"/>
  <c r="B34" i="1"/>
  <c r="D34" i="1" s="1"/>
  <c r="B35" i="1"/>
  <c r="D35" i="1" s="1"/>
  <c r="B36" i="1"/>
  <c r="D36" i="1" s="1"/>
  <c r="B37" i="1"/>
  <c r="D37" i="1" s="1"/>
  <c r="B38" i="1"/>
  <c r="D38" i="1" s="1"/>
  <c r="B39" i="1"/>
  <c r="D39" i="1" s="1"/>
  <c r="B40" i="1"/>
  <c r="D40" i="1" s="1"/>
  <c r="B41" i="1"/>
  <c r="D41" i="1" s="1"/>
  <c r="B42" i="1"/>
  <c r="D42" i="1" s="1"/>
  <c r="B43" i="1"/>
  <c r="D43" i="1" s="1"/>
  <c r="B44" i="1"/>
  <c r="D44" i="1" s="1"/>
  <c r="B45" i="1"/>
  <c r="D45" i="1" s="1"/>
  <c r="B46" i="1"/>
  <c r="D46" i="1" s="1"/>
  <c r="B47" i="1"/>
  <c r="D47" i="1" s="1"/>
  <c r="B48" i="1"/>
  <c r="D48" i="1" s="1"/>
  <c r="B49" i="1"/>
  <c r="D49" i="1" s="1"/>
  <c r="B50" i="1"/>
  <c r="D50" i="1" s="1"/>
  <c r="B51" i="1"/>
  <c r="D51" i="1" s="1"/>
  <c r="B52" i="1"/>
  <c r="D52" i="1" s="1"/>
  <c r="B53" i="1"/>
  <c r="D53" i="1" s="1"/>
  <c r="B54" i="1"/>
  <c r="D54" i="1" s="1"/>
  <c r="B55" i="1"/>
  <c r="D55" i="1" s="1"/>
  <c r="B56" i="1"/>
  <c r="D56" i="1" s="1"/>
  <c r="B57" i="1"/>
  <c r="D57" i="1" s="1"/>
  <c r="B58" i="1"/>
  <c r="D58" i="1" s="1"/>
  <c r="B59" i="1"/>
  <c r="D59" i="1" s="1"/>
  <c r="B60" i="1"/>
  <c r="D60" i="1" s="1"/>
  <c r="B61" i="1"/>
  <c r="D61" i="1" s="1"/>
  <c r="B62" i="1"/>
  <c r="D62" i="1" s="1"/>
  <c r="B63" i="1"/>
  <c r="D63" i="1" s="1"/>
  <c r="B64" i="1"/>
  <c r="D64" i="1" s="1"/>
  <c r="B65" i="1"/>
  <c r="D65" i="1" s="1"/>
  <c r="B66" i="1"/>
  <c r="D66" i="1" s="1"/>
  <c r="B67" i="1"/>
  <c r="D67" i="1" s="1"/>
  <c r="B68" i="1"/>
  <c r="D68" i="1" s="1"/>
  <c r="B69" i="1"/>
  <c r="D69" i="1" s="1"/>
  <c r="B70" i="1"/>
  <c r="D70" i="1" s="1"/>
  <c r="B71" i="1"/>
  <c r="D71" i="1" s="1"/>
  <c r="B72" i="1"/>
  <c r="D72" i="1" s="1"/>
  <c r="B73" i="1"/>
  <c r="D73" i="1" s="1"/>
  <c r="B74" i="1"/>
  <c r="D74" i="1" s="1"/>
  <c r="B75" i="1"/>
  <c r="D75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82" i="1"/>
  <c r="D82" i="1" s="1"/>
  <c r="B83" i="1"/>
  <c r="D83" i="1" s="1"/>
  <c r="B84" i="1"/>
  <c r="D84" i="1" s="1"/>
  <c r="B85" i="1"/>
  <c r="D85" i="1" s="1"/>
  <c r="B86" i="1"/>
  <c r="D86" i="1" s="1"/>
  <c r="B87" i="1"/>
  <c r="D87" i="1" s="1"/>
  <c r="B88" i="1"/>
  <c r="D88" i="1" s="1"/>
  <c r="B89" i="1"/>
  <c r="D89" i="1" s="1"/>
  <c r="B90" i="1"/>
  <c r="D90" i="1" s="1"/>
  <c r="B91" i="1"/>
  <c r="D91" i="1" s="1"/>
  <c r="B92" i="1"/>
  <c r="D92" i="1" s="1"/>
  <c r="B93" i="1"/>
  <c r="D93" i="1" s="1"/>
  <c r="B94" i="1"/>
  <c r="B95" i="1"/>
  <c r="D95" i="1" s="1"/>
  <c r="B96" i="1"/>
  <c r="D96" i="1" s="1"/>
  <c r="B97" i="1"/>
  <c r="B98" i="1"/>
  <c r="D98" i="1" s="1"/>
  <c r="B99" i="1"/>
  <c r="D99" i="1" s="1"/>
  <c r="B100" i="1"/>
  <c r="D100" i="1" s="1"/>
  <c r="B101" i="1"/>
  <c r="D101" i="1" s="1"/>
  <c r="B102" i="1"/>
  <c r="D102" i="1" s="1"/>
  <c r="B103" i="1"/>
  <c r="D103" i="1" s="1"/>
  <c r="B104" i="1"/>
  <c r="D104" i="1" s="1"/>
  <c r="B105" i="1"/>
  <c r="D105" i="1" s="1"/>
  <c r="B106" i="1"/>
  <c r="D106" i="1" s="1"/>
  <c r="B107" i="1"/>
  <c r="D107" i="1" s="1"/>
  <c r="B108" i="1"/>
  <c r="D108" i="1" s="1"/>
  <c r="B109" i="1"/>
  <c r="D109" i="1" s="1"/>
  <c r="B110" i="1"/>
  <c r="D110" i="1" s="1"/>
  <c r="B111" i="1"/>
  <c r="D111" i="1" s="1"/>
  <c r="B112" i="1"/>
  <c r="D112" i="1" s="1"/>
  <c r="B113" i="1"/>
  <c r="D113" i="1" s="1"/>
  <c r="B115" i="1"/>
  <c r="D115" i="1" s="1"/>
  <c r="B116" i="1"/>
  <c r="D116" i="1" s="1"/>
  <c r="B117" i="1"/>
  <c r="D117" i="1" s="1"/>
  <c r="B118" i="1"/>
  <c r="D118" i="1" s="1"/>
  <c r="B119" i="1"/>
  <c r="D119" i="1" s="1"/>
  <c r="B120" i="1"/>
  <c r="D120" i="1" s="1"/>
  <c r="B121" i="1"/>
  <c r="D121" i="1" s="1"/>
  <c r="B122" i="1"/>
  <c r="D122" i="1" s="1"/>
  <c r="B123" i="1"/>
  <c r="D123" i="1" s="1"/>
  <c r="B124" i="1"/>
  <c r="D124" i="1" s="1"/>
  <c r="B125" i="1"/>
  <c r="D125" i="1" s="1"/>
  <c r="B126" i="1"/>
  <c r="D126" i="1" s="1"/>
  <c r="B127" i="1"/>
  <c r="D127" i="1" s="1"/>
  <c r="B128" i="1"/>
  <c r="D128" i="1" s="1"/>
  <c r="B129" i="1"/>
  <c r="D129" i="1" s="1"/>
  <c r="B130" i="1"/>
  <c r="D130" i="1" s="1"/>
  <c r="B131" i="1"/>
  <c r="D131" i="1" s="1"/>
  <c r="B132" i="1"/>
  <c r="D132" i="1" s="1"/>
  <c r="B133" i="1"/>
  <c r="D133" i="1" s="1"/>
  <c r="B134" i="1"/>
  <c r="D134" i="1" s="1"/>
  <c r="B135" i="1"/>
  <c r="D135" i="1" s="1"/>
  <c r="B136" i="1"/>
  <c r="D136" i="1" s="1"/>
  <c r="B137" i="1"/>
  <c r="D137" i="1" s="1"/>
  <c r="B138" i="1"/>
  <c r="D138" i="1" s="1"/>
  <c r="B139" i="1"/>
  <c r="D139" i="1" s="1"/>
  <c r="B140" i="1"/>
  <c r="D140" i="1" s="1"/>
  <c r="B141" i="1"/>
  <c r="D141" i="1" s="1"/>
  <c r="B142" i="1"/>
  <c r="D142" i="1" s="1"/>
  <c r="B144" i="1"/>
  <c r="D144" i="1" s="1"/>
  <c r="B145" i="1"/>
  <c r="D145" i="1" s="1"/>
  <c r="B146" i="1"/>
  <c r="D146" i="1" s="1"/>
  <c r="B147" i="1"/>
  <c r="D147" i="1" s="1"/>
  <c r="B148" i="1"/>
  <c r="D148" i="1" s="1"/>
  <c r="B149" i="1"/>
  <c r="D149" i="1" s="1"/>
  <c r="B150" i="1"/>
  <c r="D150" i="1" s="1"/>
  <c r="B151" i="1"/>
  <c r="D151" i="1" s="1"/>
  <c r="B152" i="1"/>
  <c r="D152" i="1" s="1"/>
  <c r="B153" i="1"/>
  <c r="D153" i="1" s="1"/>
  <c r="B154" i="1"/>
  <c r="D154" i="1" s="1"/>
  <c r="B155" i="1"/>
  <c r="D155" i="1" s="1"/>
  <c r="B156" i="1"/>
  <c r="D156" i="1" s="1"/>
  <c r="B157" i="1"/>
  <c r="D157" i="1" s="1"/>
  <c r="B158" i="1"/>
  <c r="D158" i="1" s="1"/>
  <c r="B159" i="1"/>
  <c r="D159" i="1" s="1"/>
  <c r="B160" i="1"/>
  <c r="D160" i="1" s="1"/>
  <c r="B161" i="1"/>
  <c r="D161" i="1" s="1"/>
  <c r="B162" i="1"/>
  <c r="D162" i="1" s="1"/>
  <c r="B163" i="1"/>
  <c r="D163" i="1" s="1"/>
  <c r="B164" i="1"/>
  <c r="D164" i="1" s="1"/>
  <c r="B165" i="1"/>
  <c r="D165" i="1" s="1"/>
  <c r="B166" i="1"/>
  <c r="D166" i="1" s="1"/>
  <c r="B167" i="1"/>
  <c r="D167" i="1" s="1"/>
  <c r="B168" i="1"/>
  <c r="D168" i="1" s="1"/>
  <c r="B169" i="1"/>
  <c r="D169" i="1" s="1"/>
  <c r="B170" i="1"/>
  <c r="D170" i="1" s="1"/>
  <c r="B171" i="1"/>
  <c r="D171" i="1" s="1"/>
  <c r="B172" i="1"/>
  <c r="D172" i="1" s="1"/>
  <c r="B173" i="1"/>
  <c r="D173" i="1" s="1"/>
  <c r="B174" i="1"/>
  <c r="D174" i="1" s="1"/>
  <c r="B175" i="1"/>
  <c r="D175" i="1" s="1"/>
  <c r="B176" i="1"/>
  <c r="D176" i="1" s="1"/>
  <c r="B177" i="1"/>
  <c r="D177" i="1" s="1"/>
  <c r="B178" i="1"/>
  <c r="D178" i="1" s="1"/>
  <c r="B179" i="1"/>
  <c r="D179" i="1" s="1"/>
  <c r="B180" i="1"/>
  <c r="D180" i="1" s="1"/>
  <c r="B181" i="1"/>
  <c r="D181" i="1" s="1"/>
  <c r="B183" i="1"/>
  <c r="D183" i="1" s="1"/>
  <c r="B184" i="1"/>
  <c r="D184" i="1" s="1"/>
  <c r="B187" i="1"/>
  <c r="D187" i="1" s="1"/>
  <c r="B188" i="1"/>
  <c r="D188" i="1" s="1"/>
  <c r="B189" i="1"/>
  <c r="D189" i="1" s="1"/>
  <c r="B190" i="1"/>
  <c r="D190" i="1" s="1"/>
  <c r="B194" i="1"/>
  <c r="D194" i="1" s="1"/>
  <c r="B195" i="1"/>
  <c r="D195" i="1" s="1"/>
  <c r="B197" i="1"/>
  <c r="D197" i="1" s="1"/>
  <c r="B198" i="1"/>
  <c r="D198" i="1" s="1"/>
  <c r="B200" i="1"/>
  <c r="D200" i="1" s="1"/>
  <c r="B201" i="1"/>
  <c r="D201" i="1" s="1"/>
  <c r="B202" i="1"/>
  <c r="D202" i="1" s="1"/>
  <c r="B203" i="1"/>
  <c r="D203" i="1" s="1"/>
  <c r="B204" i="1"/>
  <c r="D204" i="1" s="1"/>
  <c r="B205" i="1"/>
  <c r="D205" i="1" s="1"/>
  <c r="B206" i="1"/>
  <c r="D206" i="1" s="1"/>
  <c r="B207" i="1"/>
  <c r="D207" i="1" s="1"/>
  <c r="B208" i="1"/>
  <c r="D208" i="1" s="1"/>
  <c r="B209" i="1"/>
  <c r="D209" i="1" s="1"/>
  <c r="B210" i="1"/>
  <c r="D210" i="1" s="1"/>
  <c r="B211" i="1"/>
  <c r="D211" i="1" s="1"/>
  <c r="B212" i="1"/>
  <c r="D212" i="1" s="1"/>
  <c r="B213" i="1"/>
  <c r="D213" i="1" s="1"/>
  <c r="B214" i="1"/>
  <c r="D214" i="1" s="1"/>
  <c r="B215" i="1"/>
  <c r="D215" i="1" s="1"/>
  <c r="B216" i="1"/>
  <c r="D216" i="1" s="1"/>
  <c r="B217" i="1"/>
  <c r="D217" i="1" s="1"/>
  <c r="B218" i="1"/>
  <c r="D218" i="1" s="1"/>
  <c r="B219" i="1"/>
  <c r="D219" i="1" s="1"/>
  <c r="B220" i="1"/>
  <c r="D220" i="1" s="1"/>
  <c r="B221" i="1"/>
  <c r="D221" i="1" s="1"/>
  <c r="B222" i="1"/>
  <c r="D222" i="1" s="1"/>
  <c r="B223" i="1"/>
  <c r="D223" i="1" s="1"/>
  <c r="B224" i="1"/>
  <c r="D224" i="1" s="1"/>
  <c r="B225" i="1"/>
  <c r="D225" i="1" s="1"/>
  <c r="B226" i="1"/>
  <c r="D226" i="1" s="1"/>
  <c r="B227" i="1"/>
  <c r="D227" i="1" s="1"/>
  <c r="B228" i="1"/>
  <c r="D228" i="1" s="1"/>
  <c r="B229" i="1"/>
  <c r="D229" i="1" s="1"/>
  <c r="B230" i="1"/>
  <c r="D230" i="1" s="1"/>
  <c r="B231" i="1"/>
  <c r="D231" i="1" s="1"/>
  <c r="B232" i="1"/>
  <c r="D232" i="1" s="1"/>
  <c r="B233" i="1"/>
  <c r="D233" i="1" s="1"/>
  <c r="B234" i="1"/>
  <c r="D234" i="1" s="1"/>
  <c r="B235" i="1"/>
  <c r="D235" i="1" s="1"/>
  <c r="B236" i="1"/>
  <c r="D236" i="1" s="1"/>
  <c r="B237" i="1"/>
  <c r="D237" i="1" s="1"/>
  <c r="B238" i="1"/>
  <c r="B239" i="1"/>
  <c r="D239" i="1" s="1"/>
  <c r="B240" i="1"/>
  <c r="D240" i="1" s="1"/>
  <c r="B241" i="1"/>
  <c r="D241" i="1" s="1"/>
  <c r="B242" i="1"/>
  <c r="D242" i="1" s="1"/>
  <c r="B243" i="1"/>
  <c r="D243" i="1" s="1"/>
  <c r="B244" i="1"/>
  <c r="D244" i="1" s="1"/>
  <c r="B245" i="1"/>
  <c r="D245" i="1" s="1"/>
  <c r="B246" i="1"/>
  <c r="D246" i="1" s="1"/>
  <c r="B248" i="1"/>
  <c r="D248" i="1" s="1"/>
  <c r="B250" i="1"/>
  <c r="D250" i="1" s="1"/>
  <c r="B251" i="1"/>
  <c r="D251" i="1" s="1"/>
  <c r="B252" i="1"/>
  <c r="D252" i="1" s="1"/>
  <c r="B253" i="1"/>
  <c r="D253" i="1" s="1"/>
  <c r="B254" i="1"/>
  <c r="D254" i="1" s="1"/>
  <c r="B255" i="1"/>
  <c r="D255" i="1" s="1"/>
  <c r="B256" i="1"/>
  <c r="B257" i="1"/>
  <c r="D257" i="1" s="1"/>
  <c r="B258" i="1"/>
  <c r="B259" i="1"/>
  <c r="D259" i="1" s="1"/>
  <c r="B260" i="1"/>
  <c r="B261" i="1"/>
  <c r="D261" i="1" s="1"/>
  <c r="B262" i="1"/>
  <c r="B263" i="1"/>
  <c r="D263" i="1" s="1"/>
  <c r="B264" i="1"/>
  <c r="D264" i="1" s="1"/>
  <c r="B265" i="1"/>
  <c r="D265" i="1" s="1"/>
  <c r="B266" i="1"/>
  <c r="B267" i="1"/>
  <c r="D267" i="1" s="1"/>
  <c r="B268" i="1"/>
  <c r="B269" i="1"/>
  <c r="D269" i="1" s="1"/>
  <c r="B270" i="1"/>
  <c r="D270" i="1" s="1"/>
  <c r="B271" i="1"/>
  <c r="D271" i="1" s="1"/>
  <c r="B272" i="1"/>
  <c r="D272" i="1" s="1"/>
  <c r="B277" i="1"/>
  <c r="D277" i="1" s="1"/>
  <c r="B278" i="1"/>
  <c r="D278" i="1" s="1"/>
  <c r="B279" i="1"/>
  <c r="D279" i="1" s="1"/>
  <c r="B280" i="1"/>
  <c r="D280" i="1" s="1"/>
  <c r="B281" i="1"/>
  <c r="D281" i="1" s="1"/>
  <c r="B282" i="1"/>
  <c r="D282" i="1" s="1"/>
  <c r="B283" i="1"/>
  <c r="D283" i="1" s="1"/>
  <c r="B284" i="1"/>
  <c r="D284" i="1" s="1"/>
  <c r="B285" i="1"/>
  <c r="D285" i="1" s="1"/>
  <c r="B286" i="1"/>
  <c r="D286" i="1" s="1"/>
  <c r="B287" i="1"/>
  <c r="B291" i="1"/>
  <c r="D291" i="1" s="1"/>
  <c r="B292" i="1"/>
  <c r="D292" i="1" s="1"/>
  <c r="B293" i="1"/>
  <c r="D293" i="1" s="1"/>
  <c r="B2" i="1"/>
  <c r="D2" i="1" s="1"/>
  <c r="H287" i="1"/>
  <c r="H97" i="1"/>
  <c r="I94" i="1"/>
  <c r="H94" i="1"/>
  <c r="H13" i="1"/>
  <c r="K8" i="1"/>
  <c r="J8" i="1"/>
  <c r="I8" i="1"/>
  <c r="H8" i="1"/>
  <c r="L185" i="1" l="1"/>
  <c r="L227" i="1" l="1"/>
  <c r="L228" i="1"/>
  <c r="L229" i="1"/>
  <c r="L230" i="1"/>
  <c r="L231" i="1"/>
  <c r="L232" i="1"/>
  <c r="L233" i="1"/>
  <c r="L234" i="1"/>
  <c r="L235" i="1"/>
  <c r="L236" i="1"/>
  <c r="L237" i="1"/>
  <c r="L178" i="1"/>
  <c r="L179" i="1"/>
  <c r="L180" i="1"/>
  <c r="L181" i="1"/>
  <c r="L142" i="1"/>
  <c r="L141" i="1"/>
  <c r="L140" i="1"/>
  <c r="L110" i="1"/>
  <c r="L111" i="1"/>
  <c r="L112" i="1"/>
  <c r="L113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7" i="1"/>
  <c r="L184" i="1"/>
  <c r="L286" i="1" l="1"/>
  <c r="L177" i="1" l="1"/>
  <c r="L176" i="1"/>
  <c r="L175" i="1"/>
  <c r="L174" i="1"/>
  <c r="L173" i="1"/>
  <c r="L172" i="1"/>
  <c r="L171" i="1"/>
  <c r="L139" i="1"/>
  <c r="L109" i="1" l="1"/>
  <c r="L108" i="1"/>
  <c r="L71" i="1"/>
  <c r="L70" i="1"/>
  <c r="L69" i="1"/>
  <c r="L68" i="1"/>
  <c r="L67" i="1"/>
  <c r="L66" i="1"/>
  <c r="L65" i="1"/>
  <c r="L12" i="1"/>
  <c r="L6" i="1"/>
  <c r="L5" i="1"/>
  <c r="L170" i="1" l="1"/>
  <c r="L169" i="1"/>
  <c r="L168" i="1"/>
  <c r="L167" i="1"/>
  <c r="L166" i="1"/>
  <c r="L165" i="1"/>
  <c r="L164" i="1"/>
  <c r="L138" i="1"/>
  <c r="L137" i="1"/>
  <c r="L136" i="1"/>
  <c r="L135" i="1"/>
  <c r="L107" i="1"/>
  <c r="L106" i="1"/>
  <c r="L105" i="1"/>
  <c r="L104" i="1"/>
  <c r="L64" i="1"/>
  <c r="L63" i="1"/>
  <c r="L62" i="1"/>
  <c r="L61" i="1"/>
  <c r="L60" i="1"/>
  <c r="L59" i="1"/>
  <c r="L58" i="1"/>
  <c r="L57" i="1"/>
  <c r="L246" i="1" l="1"/>
  <c r="L56" i="1"/>
  <c r="L55" i="1"/>
  <c r="L54" i="1"/>
  <c r="L53" i="1"/>
  <c r="Q274" i="1" l="1"/>
  <c r="L134" i="1"/>
  <c r="L245" i="1"/>
  <c r="L226" i="1"/>
  <c r="L225" i="1"/>
  <c r="L224" i="1"/>
  <c r="Q224" i="1" s="1"/>
  <c r="L223" i="1" l="1"/>
  <c r="L222" i="1"/>
  <c r="L221" i="1"/>
  <c r="L255" i="1"/>
  <c r="L220" i="1"/>
  <c r="L219" i="1"/>
  <c r="Q219" i="1" s="1"/>
  <c r="L254" i="1"/>
  <c r="L163" i="1" l="1"/>
  <c r="L52" i="1"/>
  <c r="L51" i="1"/>
  <c r="L50" i="1"/>
  <c r="L11" i="1"/>
  <c r="Q11" i="1" s="1"/>
  <c r="L10" i="1"/>
  <c r="L96" i="1"/>
  <c r="L253" i="1" l="1"/>
  <c r="Q253" i="1" s="1"/>
  <c r="L244" i="1"/>
  <c r="Q244" i="1" s="1"/>
  <c r="L218" i="1"/>
  <c r="L162" i="1" l="1"/>
  <c r="L161" i="1"/>
  <c r="L160" i="1"/>
  <c r="L49" i="1"/>
  <c r="L48" i="1"/>
  <c r="L47" i="1" l="1"/>
  <c r="L46" i="1"/>
  <c r="Q46" i="1" s="1"/>
  <c r="L45" i="1"/>
  <c r="L44" i="1"/>
  <c r="Q44" i="1" s="1"/>
  <c r="L133" i="1" l="1"/>
  <c r="L132" i="1"/>
  <c r="L103" i="1"/>
  <c r="L102" i="1"/>
  <c r="L101" i="1"/>
  <c r="L43" i="1" l="1"/>
  <c r="Q43" i="1" s="1"/>
  <c r="L190" i="1"/>
  <c r="L217" i="1" l="1"/>
  <c r="L131" i="1"/>
  <c r="Q131" i="1" s="1"/>
  <c r="L216" i="1" l="1"/>
  <c r="L159" i="1"/>
  <c r="L42" i="1"/>
  <c r="L95" i="1"/>
  <c r="Q254" i="1" l="1"/>
  <c r="L243" i="1"/>
  <c r="L41" i="1"/>
  <c r="L158" i="1" l="1"/>
  <c r="Q223" i="1" s="1"/>
  <c r="L157" i="1"/>
  <c r="L156" i="1"/>
  <c r="L130" i="1"/>
  <c r="L129" i="1"/>
  <c r="Q129" i="1" s="1"/>
  <c r="L128" i="1"/>
  <c r="L100" i="1"/>
  <c r="Q42" i="1" s="1"/>
  <c r="L9" i="1"/>
  <c r="L40" i="1"/>
  <c r="L39" i="1"/>
  <c r="L38" i="1"/>
  <c r="L37" i="1"/>
  <c r="L36" i="1"/>
  <c r="Q36" i="1" s="1"/>
  <c r="L35" i="1"/>
  <c r="Q226" i="1" l="1"/>
  <c r="Q128" i="1"/>
  <c r="Q220" i="1"/>
  <c r="L99" i="1"/>
  <c r="L215" i="1" l="1"/>
  <c r="Q38" i="1" s="1"/>
  <c r="L214" i="1"/>
  <c r="L213" i="1"/>
  <c r="L155" i="1"/>
  <c r="Q155" i="1" s="1"/>
  <c r="L34" i="1"/>
  <c r="L33" i="1"/>
  <c r="Q51" i="1" s="1"/>
  <c r="L32" i="1"/>
  <c r="Q32" i="1" s="1"/>
  <c r="Q159" i="1" l="1"/>
  <c r="Q214" i="1"/>
  <c r="Q215" i="1"/>
  <c r="Q34" i="1"/>
  <c r="Q10" i="1"/>
  <c r="L212" i="1"/>
  <c r="L31" i="1"/>
  <c r="L154" i="1"/>
  <c r="L198" i="1"/>
  <c r="L211" i="1"/>
  <c r="Q211" i="1" s="1"/>
  <c r="Q154" i="1" l="1"/>
  <c r="Q45" i="1"/>
  <c r="L127" i="1"/>
  <c r="L30" i="1"/>
  <c r="Q48" i="1" s="1"/>
  <c r="L29" i="1"/>
  <c r="Q29" i="1" s="1"/>
  <c r="L28" i="1"/>
  <c r="L27" i="1"/>
  <c r="Q28" i="1" l="1"/>
  <c r="Q33" i="1"/>
  <c r="Q27" i="1"/>
  <c r="Q161" i="1"/>
  <c r="Q30" i="1"/>
  <c r="Q95" i="1"/>
  <c r="Q127" i="1"/>
  <c r="Q158" i="1"/>
  <c r="L153" i="1" l="1"/>
  <c r="L152" i="1"/>
  <c r="Q152" i="1" s="1"/>
  <c r="L26" i="1"/>
  <c r="Q26" i="1" l="1"/>
  <c r="L242" i="1" l="1"/>
  <c r="Q242" i="1" s="1"/>
  <c r="L293" i="1"/>
  <c r="Q293" i="1" s="1"/>
  <c r="L292" i="1"/>
  <c r="L291" i="1"/>
  <c r="Q291" i="1" s="1"/>
  <c r="L25" i="1"/>
  <c r="Q101" i="1" s="1"/>
  <c r="L24" i="1"/>
  <c r="Q24" i="1" l="1"/>
  <c r="Q292" i="1"/>
  <c r="Q40" i="1"/>
  <c r="O150" i="7" l="1"/>
  <c r="O149" i="7"/>
  <c r="O148" i="7"/>
  <c r="O147" i="7"/>
  <c r="O146" i="7"/>
  <c r="O145" i="7"/>
  <c r="O144" i="7"/>
  <c r="O143" i="7"/>
  <c r="O142" i="7"/>
  <c r="O141" i="7"/>
  <c r="O140" i="7"/>
  <c r="O139" i="7"/>
  <c r="O138" i="7"/>
  <c r="O137" i="7"/>
  <c r="O136" i="7"/>
  <c r="O135" i="7"/>
  <c r="O134" i="7"/>
  <c r="O133" i="7"/>
  <c r="O132" i="7"/>
  <c r="O131" i="7"/>
  <c r="O130" i="7"/>
  <c r="O129" i="7"/>
  <c r="O128" i="7"/>
  <c r="O127" i="7"/>
  <c r="O126" i="7"/>
  <c r="O125" i="7"/>
  <c r="O124" i="7"/>
  <c r="O123" i="7"/>
  <c r="O122" i="7"/>
  <c r="O121" i="7"/>
  <c r="O120" i="7"/>
  <c r="O119" i="7"/>
  <c r="O118" i="7"/>
  <c r="O117" i="7"/>
  <c r="O116" i="7"/>
  <c r="O115" i="7"/>
  <c r="O114" i="7"/>
  <c r="O113" i="7"/>
  <c r="O112" i="7"/>
  <c r="O111" i="7"/>
  <c r="O110" i="7"/>
  <c r="O109" i="7"/>
  <c r="O108" i="7"/>
  <c r="O107" i="7"/>
  <c r="O106" i="7"/>
  <c r="O105" i="7"/>
  <c r="O104" i="7"/>
  <c r="O103" i="7"/>
  <c r="O102" i="7"/>
  <c r="O101" i="7"/>
  <c r="O100" i="7"/>
  <c r="O99" i="7"/>
  <c r="O98" i="7"/>
  <c r="O97" i="7"/>
  <c r="O96" i="7"/>
  <c r="O95" i="7"/>
  <c r="O94" i="7"/>
  <c r="O93" i="7"/>
  <c r="O92" i="7"/>
  <c r="O91" i="7"/>
  <c r="O90" i="7"/>
  <c r="O89" i="7"/>
  <c r="O88" i="7"/>
  <c r="O87" i="7"/>
  <c r="O86" i="7"/>
  <c r="O85" i="7"/>
  <c r="O84" i="7"/>
  <c r="O83" i="7"/>
  <c r="O82" i="7"/>
  <c r="O81" i="7"/>
  <c r="O80" i="7"/>
  <c r="O79" i="7"/>
  <c r="O78" i="7"/>
  <c r="O77" i="7"/>
  <c r="O76" i="7"/>
  <c r="O75" i="7"/>
  <c r="O74" i="7"/>
  <c r="O73" i="7"/>
  <c r="O72" i="7"/>
  <c r="O71" i="7"/>
  <c r="O70" i="7"/>
  <c r="O69" i="7"/>
  <c r="O68" i="7"/>
  <c r="O67" i="7"/>
  <c r="O66" i="7"/>
  <c r="O65" i="7"/>
  <c r="O64" i="7"/>
  <c r="O63" i="7"/>
  <c r="O62" i="7"/>
  <c r="O61" i="7"/>
  <c r="O60" i="7"/>
  <c r="O59" i="7"/>
  <c r="O58" i="7"/>
  <c r="O57" i="7"/>
  <c r="O56" i="7"/>
  <c r="O55" i="7"/>
  <c r="O54" i="7"/>
  <c r="O53" i="7"/>
  <c r="O52" i="7"/>
  <c r="O51" i="7"/>
  <c r="O50" i="7"/>
  <c r="O49" i="7"/>
  <c r="O48" i="7"/>
  <c r="O47" i="7"/>
  <c r="O46" i="7"/>
  <c r="O45" i="7"/>
  <c r="O44" i="7"/>
  <c r="O43" i="7"/>
  <c r="O42" i="7"/>
  <c r="O41" i="7"/>
  <c r="O40" i="7"/>
  <c r="O39" i="7"/>
  <c r="O38" i="7"/>
  <c r="O37" i="7"/>
  <c r="O36" i="7"/>
  <c r="O35" i="7"/>
  <c r="O34" i="7"/>
  <c r="O33" i="7"/>
  <c r="O32" i="7"/>
  <c r="O31" i="7"/>
  <c r="O30" i="7"/>
  <c r="O29" i="7"/>
  <c r="O28" i="7"/>
  <c r="O27" i="7"/>
  <c r="O26" i="7"/>
  <c r="O25" i="7"/>
  <c r="O24" i="7"/>
  <c r="O23" i="7"/>
  <c r="O22" i="7"/>
  <c r="O21" i="7"/>
  <c r="O20" i="7"/>
  <c r="O19" i="7"/>
  <c r="O18" i="7"/>
  <c r="O17" i="7"/>
  <c r="O16" i="7"/>
  <c r="O15" i="7"/>
  <c r="O14" i="7"/>
  <c r="O13" i="7"/>
  <c r="O12" i="7"/>
  <c r="O11" i="7"/>
  <c r="O10" i="7"/>
  <c r="O9" i="7"/>
  <c r="O8" i="7"/>
  <c r="O7" i="7"/>
  <c r="O6" i="7"/>
  <c r="O5" i="7"/>
  <c r="O4" i="7"/>
  <c r="O3" i="7"/>
  <c r="O2" i="7"/>
  <c r="H151" i="7"/>
  <c r="G151" i="7"/>
  <c r="F151" i="7"/>
  <c r="E151" i="7"/>
  <c r="I150" i="7"/>
  <c r="M150" i="7" s="1"/>
  <c r="I149" i="7"/>
  <c r="M149" i="7" s="1"/>
  <c r="I148" i="7"/>
  <c r="M148" i="7" s="1"/>
  <c r="I147" i="7"/>
  <c r="M147" i="7" s="1"/>
  <c r="I146" i="7"/>
  <c r="M146" i="7" s="1"/>
  <c r="I145" i="7"/>
  <c r="M145" i="7" s="1"/>
  <c r="I144" i="7"/>
  <c r="M144" i="7" s="1"/>
  <c r="I143" i="7"/>
  <c r="M143" i="7" s="1"/>
  <c r="I142" i="7"/>
  <c r="M142" i="7" s="1"/>
  <c r="I141" i="7"/>
  <c r="M141" i="7" s="1"/>
  <c r="I140" i="7"/>
  <c r="M140" i="7" s="1"/>
  <c r="I139" i="7"/>
  <c r="M139" i="7" s="1"/>
  <c r="I138" i="7"/>
  <c r="M138" i="7" s="1"/>
  <c r="I137" i="7"/>
  <c r="M137" i="7" s="1"/>
  <c r="I136" i="7"/>
  <c r="M136" i="7" s="1"/>
  <c r="I135" i="7"/>
  <c r="M135" i="7" s="1"/>
  <c r="I134" i="7"/>
  <c r="M134" i="7" s="1"/>
  <c r="I133" i="7"/>
  <c r="M133" i="7" s="1"/>
  <c r="I132" i="7"/>
  <c r="M132" i="7" s="1"/>
  <c r="I131" i="7"/>
  <c r="M131" i="7" s="1"/>
  <c r="I130" i="7"/>
  <c r="M130" i="7" s="1"/>
  <c r="I129" i="7"/>
  <c r="M129" i="7" s="1"/>
  <c r="I128" i="7"/>
  <c r="M128" i="7" s="1"/>
  <c r="I127" i="7"/>
  <c r="M127" i="7" s="1"/>
  <c r="I126" i="7"/>
  <c r="M126" i="7" s="1"/>
  <c r="I125" i="7"/>
  <c r="M125" i="7" s="1"/>
  <c r="I124" i="7"/>
  <c r="M124" i="7" s="1"/>
  <c r="I123" i="7"/>
  <c r="M123" i="7" s="1"/>
  <c r="I122" i="7"/>
  <c r="M122" i="7" s="1"/>
  <c r="I121" i="7"/>
  <c r="M121" i="7" s="1"/>
  <c r="I120" i="7"/>
  <c r="M120" i="7" s="1"/>
  <c r="I119" i="7"/>
  <c r="M119" i="7" s="1"/>
  <c r="I118" i="7"/>
  <c r="M118" i="7" s="1"/>
  <c r="I117" i="7"/>
  <c r="M117" i="7" s="1"/>
  <c r="I116" i="7"/>
  <c r="M116" i="7" s="1"/>
  <c r="I115" i="7"/>
  <c r="M115" i="7" s="1"/>
  <c r="I114" i="7"/>
  <c r="M114" i="7" s="1"/>
  <c r="I113" i="7"/>
  <c r="M113" i="7" s="1"/>
  <c r="I112" i="7"/>
  <c r="M112" i="7" s="1"/>
  <c r="I111" i="7"/>
  <c r="M111" i="7" s="1"/>
  <c r="I110" i="7"/>
  <c r="M110" i="7" s="1"/>
  <c r="I109" i="7"/>
  <c r="M109" i="7" s="1"/>
  <c r="I108" i="7"/>
  <c r="M108" i="7" s="1"/>
  <c r="I107" i="7"/>
  <c r="M107" i="7" s="1"/>
  <c r="I106" i="7"/>
  <c r="M106" i="7" s="1"/>
  <c r="I105" i="7"/>
  <c r="M105" i="7" s="1"/>
  <c r="I104" i="7"/>
  <c r="M104" i="7" s="1"/>
  <c r="I103" i="7"/>
  <c r="M103" i="7" s="1"/>
  <c r="I102" i="7"/>
  <c r="M102" i="7" s="1"/>
  <c r="I101" i="7"/>
  <c r="M101" i="7" s="1"/>
  <c r="I100" i="7"/>
  <c r="M100" i="7" s="1"/>
  <c r="I99" i="7"/>
  <c r="M99" i="7" s="1"/>
  <c r="I98" i="7"/>
  <c r="M98" i="7" s="1"/>
  <c r="I97" i="7"/>
  <c r="M97" i="7" s="1"/>
  <c r="I96" i="7"/>
  <c r="M96" i="7" s="1"/>
  <c r="I95" i="7"/>
  <c r="M95" i="7" s="1"/>
  <c r="I94" i="7"/>
  <c r="M94" i="7" s="1"/>
  <c r="I93" i="7"/>
  <c r="M93" i="7" s="1"/>
  <c r="I92" i="7"/>
  <c r="M92" i="7" s="1"/>
  <c r="I91" i="7"/>
  <c r="M91" i="7" s="1"/>
  <c r="I90" i="7"/>
  <c r="M90" i="7" s="1"/>
  <c r="I89" i="7"/>
  <c r="M89" i="7" s="1"/>
  <c r="I88" i="7"/>
  <c r="M88" i="7" s="1"/>
  <c r="I87" i="7"/>
  <c r="M87" i="7" s="1"/>
  <c r="I86" i="7"/>
  <c r="M86" i="7" s="1"/>
  <c r="I85" i="7"/>
  <c r="M85" i="7" s="1"/>
  <c r="I84" i="7"/>
  <c r="M84" i="7" s="1"/>
  <c r="I83" i="7"/>
  <c r="M83" i="7" s="1"/>
  <c r="I82" i="7"/>
  <c r="M82" i="7" s="1"/>
  <c r="I81" i="7"/>
  <c r="M81" i="7" s="1"/>
  <c r="I80" i="7"/>
  <c r="M80" i="7" s="1"/>
  <c r="I79" i="7"/>
  <c r="M79" i="7" s="1"/>
  <c r="I78" i="7"/>
  <c r="M78" i="7" s="1"/>
  <c r="I77" i="7"/>
  <c r="M77" i="7" s="1"/>
  <c r="I76" i="7"/>
  <c r="M76" i="7" s="1"/>
  <c r="I75" i="7"/>
  <c r="M75" i="7" s="1"/>
  <c r="I74" i="7"/>
  <c r="M74" i="7" s="1"/>
  <c r="I73" i="7"/>
  <c r="M73" i="7" s="1"/>
  <c r="I72" i="7"/>
  <c r="M72" i="7" s="1"/>
  <c r="I71" i="7"/>
  <c r="M71" i="7" s="1"/>
  <c r="I70" i="7"/>
  <c r="M70" i="7" s="1"/>
  <c r="I69" i="7"/>
  <c r="M69" i="7" s="1"/>
  <c r="I68" i="7"/>
  <c r="M68" i="7" s="1"/>
  <c r="I67" i="7"/>
  <c r="M67" i="7" s="1"/>
  <c r="I66" i="7"/>
  <c r="M66" i="7" s="1"/>
  <c r="I65" i="7"/>
  <c r="M65" i="7" s="1"/>
  <c r="I64" i="7"/>
  <c r="M64" i="7" s="1"/>
  <c r="I63" i="7"/>
  <c r="M63" i="7" s="1"/>
  <c r="I62" i="7"/>
  <c r="M62" i="7" s="1"/>
  <c r="I61" i="7"/>
  <c r="M61" i="7" s="1"/>
  <c r="I60" i="7"/>
  <c r="M60" i="7" s="1"/>
  <c r="I59" i="7"/>
  <c r="M59" i="7" s="1"/>
  <c r="I58" i="7"/>
  <c r="M58" i="7" s="1"/>
  <c r="I57" i="7"/>
  <c r="M57" i="7" s="1"/>
  <c r="I56" i="7"/>
  <c r="M56" i="7" s="1"/>
  <c r="I55" i="7"/>
  <c r="M55" i="7" s="1"/>
  <c r="I54" i="7"/>
  <c r="M54" i="7" s="1"/>
  <c r="I53" i="7"/>
  <c r="M53" i="7" s="1"/>
  <c r="I52" i="7"/>
  <c r="M52" i="7" s="1"/>
  <c r="I51" i="7"/>
  <c r="M51" i="7" s="1"/>
  <c r="I50" i="7"/>
  <c r="M50" i="7" s="1"/>
  <c r="I49" i="7"/>
  <c r="M49" i="7" s="1"/>
  <c r="I48" i="7"/>
  <c r="M48" i="7" s="1"/>
  <c r="I47" i="7"/>
  <c r="M47" i="7" s="1"/>
  <c r="I46" i="7"/>
  <c r="M46" i="7" s="1"/>
  <c r="I45" i="7"/>
  <c r="M45" i="7" s="1"/>
  <c r="I44" i="7"/>
  <c r="M44" i="7" s="1"/>
  <c r="I43" i="7"/>
  <c r="M43" i="7" s="1"/>
  <c r="I42" i="7"/>
  <c r="M42" i="7" s="1"/>
  <c r="I41" i="7"/>
  <c r="M41" i="7" s="1"/>
  <c r="I40" i="7"/>
  <c r="M40" i="7" s="1"/>
  <c r="I39" i="7"/>
  <c r="M39" i="7" s="1"/>
  <c r="I38" i="7"/>
  <c r="M38" i="7" s="1"/>
  <c r="I37" i="7"/>
  <c r="M37" i="7" s="1"/>
  <c r="I36" i="7"/>
  <c r="M36" i="7" s="1"/>
  <c r="I35" i="7"/>
  <c r="M35" i="7" s="1"/>
  <c r="I34" i="7"/>
  <c r="M34" i="7" s="1"/>
  <c r="I33" i="7"/>
  <c r="M33" i="7" s="1"/>
  <c r="I32" i="7"/>
  <c r="M32" i="7" s="1"/>
  <c r="I31" i="7"/>
  <c r="M31" i="7" s="1"/>
  <c r="I30" i="7"/>
  <c r="M30" i="7" s="1"/>
  <c r="I29" i="7"/>
  <c r="M29" i="7" s="1"/>
  <c r="I28" i="7"/>
  <c r="M28" i="7" s="1"/>
  <c r="I27" i="7"/>
  <c r="M27" i="7" s="1"/>
  <c r="I26" i="7"/>
  <c r="M26" i="7" s="1"/>
  <c r="I25" i="7"/>
  <c r="M25" i="7" s="1"/>
  <c r="I24" i="7"/>
  <c r="M24" i="7" s="1"/>
  <c r="I23" i="7"/>
  <c r="M23" i="7" s="1"/>
  <c r="I22" i="7"/>
  <c r="M22" i="7" s="1"/>
  <c r="I21" i="7"/>
  <c r="M21" i="7" s="1"/>
  <c r="I20" i="7"/>
  <c r="M20" i="7" s="1"/>
  <c r="I19" i="7"/>
  <c r="M19" i="7" s="1"/>
  <c r="I18" i="7"/>
  <c r="M18" i="7" s="1"/>
  <c r="I17" i="7"/>
  <c r="M17" i="7" s="1"/>
  <c r="I16" i="7"/>
  <c r="M16" i="7" s="1"/>
  <c r="I15" i="7"/>
  <c r="M15" i="7" s="1"/>
  <c r="I14" i="7"/>
  <c r="M14" i="7" s="1"/>
  <c r="I13" i="7"/>
  <c r="M13" i="7" s="1"/>
  <c r="I12" i="7"/>
  <c r="M12" i="7" s="1"/>
  <c r="I11" i="7"/>
  <c r="M11" i="7" s="1"/>
  <c r="I10" i="7"/>
  <c r="M10" i="7" s="1"/>
  <c r="I9" i="7"/>
  <c r="M9" i="7" s="1"/>
  <c r="I8" i="7"/>
  <c r="M8" i="7" s="1"/>
  <c r="I7" i="7"/>
  <c r="M7" i="7" s="1"/>
  <c r="I6" i="7"/>
  <c r="M6" i="7" s="1"/>
  <c r="I5" i="7"/>
  <c r="M5" i="7" s="1"/>
  <c r="I4" i="7"/>
  <c r="M4" i="7" s="1"/>
  <c r="I3" i="7"/>
  <c r="M3" i="7" s="1"/>
  <c r="I2" i="7"/>
  <c r="M2" i="7" s="1"/>
  <c r="P9" i="7" l="1"/>
  <c r="P13" i="7"/>
  <c r="P17" i="7"/>
  <c r="P21" i="7"/>
  <c r="P25" i="7"/>
  <c r="P29" i="7"/>
  <c r="P33" i="7"/>
  <c r="P37" i="7"/>
  <c r="P41" i="7"/>
  <c r="P45" i="7"/>
  <c r="P49" i="7"/>
  <c r="P53" i="7"/>
  <c r="P57" i="7"/>
  <c r="P61" i="7"/>
  <c r="P65" i="7"/>
  <c r="P69" i="7"/>
  <c r="P73" i="7"/>
  <c r="P77" i="7"/>
  <c r="P81" i="7"/>
  <c r="P85" i="7"/>
  <c r="P89" i="7"/>
  <c r="P93" i="7"/>
  <c r="P97" i="7"/>
  <c r="P101" i="7"/>
  <c r="P105" i="7"/>
  <c r="P109" i="7"/>
  <c r="P113" i="7"/>
  <c r="P117" i="7"/>
  <c r="P121" i="7"/>
  <c r="P125" i="7"/>
  <c r="P129" i="7"/>
  <c r="P133" i="7"/>
  <c r="P137" i="7"/>
  <c r="P141" i="7"/>
  <c r="P145" i="7"/>
  <c r="P149" i="7"/>
  <c r="P4" i="7"/>
  <c r="P12" i="7"/>
  <c r="P16" i="7"/>
  <c r="P20" i="7"/>
  <c r="P24" i="7"/>
  <c r="P28" i="7"/>
  <c r="P32" i="7"/>
  <c r="P36" i="7"/>
  <c r="P40" i="7"/>
  <c r="P44" i="7"/>
  <c r="P48" i="7"/>
  <c r="P52" i="7"/>
  <c r="P56" i="7"/>
  <c r="P60" i="7"/>
  <c r="P64" i="7"/>
  <c r="P68" i="7"/>
  <c r="P72" i="7"/>
  <c r="P76" i="7"/>
  <c r="P80" i="7"/>
  <c r="P84" i="7"/>
  <c r="P88" i="7"/>
  <c r="P92" i="7"/>
  <c r="P96" i="7"/>
  <c r="P100" i="7"/>
  <c r="P104" i="7"/>
  <c r="P108" i="7"/>
  <c r="P112" i="7"/>
  <c r="P116" i="7"/>
  <c r="P120" i="7"/>
  <c r="P124" i="7"/>
  <c r="P128" i="7"/>
  <c r="P132" i="7"/>
  <c r="P136" i="7"/>
  <c r="P140" i="7"/>
  <c r="P144" i="7"/>
  <c r="P148" i="7"/>
  <c r="P8" i="7"/>
  <c r="P6" i="7"/>
  <c r="P22" i="7"/>
  <c r="P38" i="7"/>
  <c r="P54" i="7"/>
  <c r="P70" i="7"/>
  <c r="P86" i="7"/>
  <c r="P102" i="7"/>
  <c r="P118" i="7"/>
  <c r="P134" i="7"/>
  <c r="P150" i="7"/>
  <c r="P5" i="7"/>
  <c r="P10" i="7"/>
  <c r="P14" i="7"/>
  <c r="P18" i="7"/>
  <c r="P26" i="7"/>
  <c r="P30" i="7"/>
  <c r="P34" i="7"/>
  <c r="P42" i="7"/>
  <c r="P46" i="7"/>
  <c r="P50" i="7"/>
  <c r="P58" i="7"/>
  <c r="P62" i="7"/>
  <c r="P66" i="7"/>
  <c r="P74" i="7"/>
  <c r="P78" i="7"/>
  <c r="P82" i="7"/>
  <c r="P90" i="7"/>
  <c r="P94" i="7"/>
  <c r="P98" i="7"/>
  <c r="P106" i="7"/>
  <c r="P110" i="7"/>
  <c r="P114" i="7"/>
  <c r="P122" i="7"/>
  <c r="P126" i="7"/>
  <c r="P130" i="7"/>
  <c r="P138" i="7"/>
  <c r="P142" i="7"/>
  <c r="P146" i="7"/>
  <c r="P7" i="7"/>
  <c r="P11" i="7"/>
  <c r="P15" i="7"/>
  <c r="P19" i="7"/>
  <c r="P23" i="7"/>
  <c r="P27" i="7"/>
  <c r="P31" i="7"/>
  <c r="P35" i="7"/>
  <c r="P39" i="7"/>
  <c r="P43" i="7"/>
  <c r="P47" i="7"/>
  <c r="P51" i="7"/>
  <c r="P55" i="7"/>
  <c r="P59" i="7"/>
  <c r="P63" i="7"/>
  <c r="P67" i="7"/>
  <c r="P71" i="7"/>
  <c r="P75" i="7"/>
  <c r="P79" i="7"/>
  <c r="P83" i="7"/>
  <c r="P87" i="7"/>
  <c r="P91" i="7"/>
  <c r="P95" i="7"/>
  <c r="P99" i="7"/>
  <c r="P103" i="7"/>
  <c r="P107" i="7"/>
  <c r="P111" i="7"/>
  <c r="P115" i="7"/>
  <c r="P119" i="7"/>
  <c r="P123" i="7"/>
  <c r="P127" i="7"/>
  <c r="P131" i="7"/>
  <c r="P135" i="7"/>
  <c r="P139" i="7"/>
  <c r="P143" i="7"/>
  <c r="P147" i="7"/>
  <c r="P2" i="7"/>
  <c r="I151" i="7"/>
  <c r="L241" i="1" l="1"/>
  <c r="Q25" i="1" s="1"/>
  <c r="L151" i="1" l="1"/>
  <c r="Q198" i="1" s="1"/>
  <c r="L126" i="1"/>
  <c r="L125" i="1"/>
  <c r="L124" i="1"/>
  <c r="L123" i="1"/>
  <c r="L23" i="1"/>
  <c r="L22" i="1"/>
  <c r="Q22" i="1" s="1"/>
  <c r="Q124" i="1" l="1"/>
  <c r="Q37" i="1"/>
  <c r="Q23" i="1"/>
  <c r="Q133" i="1"/>
  <c r="Q225" i="1"/>
  <c r="L150" i="1"/>
  <c r="L21" i="1"/>
  <c r="Q241" i="1" l="1"/>
  <c r="L183" i="1"/>
  <c r="L20" i="1" l="1"/>
  <c r="Q20" i="1" s="1"/>
  <c r="Q183" i="1" l="1"/>
  <c r="L210" i="1"/>
  <c r="L19" i="1"/>
  <c r="Q19" i="1" l="1"/>
  <c r="Q163" i="1"/>
  <c r="L272" i="1"/>
  <c r="Q272" i="1" s="1"/>
  <c r="L209" i="1" l="1"/>
  <c r="L2" i="1" l="1"/>
  <c r="L18" i="1" l="1"/>
  <c r="Q18" i="1" l="1"/>
  <c r="Q49" i="1"/>
  <c r="P3" i="7"/>
  <c r="L122" i="1" l="1"/>
  <c r="Q122" i="1" l="1"/>
  <c r="K294" i="1"/>
  <c r="J294" i="1"/>
  <c r="I294" i="1"/>
  <c r="H294" i="1"/>
  <c r="L149" i="1"/>
  <c r="L121" i="1"/>
  <c r="Q149" i="1" l="1"/>
  <c r="Q123" i="1"/>
  <c r="Q121" i="1"/>
  <c r="Q157" i="1"/>
  <c r="L4" i="1"/>
  <c r="L3" i="1"/>
  <c r="L8" i="1" l="1"/>
  <c r="Q213" i="1"/>
  <c r="L240" i="1"/>
  <c r="Q240" i="1" s="1"/>
  <c r="L17" i="1"/>
  <c r="L208" i="1" l="1"/>
  <c r="Q208" i="1" s="1"/>
  <c r="L189" i="1"/>
  <c r="Q210" i="1" l="1"/>
  <c r="L148" i="1"/>
  <c r="Q212" i="1" l="1"/>
  <c r="Q160" i="1"/>
  <c r="L16" i="1"/>
  <c r="Q16" i="1" l="1"/>
  <c r="Q102" i="1"/>
  <c r="L15" i="1"/>
  <c r="Q125" i="1" l="1"/>
  <c r="L207" i="1" l="1"/>
  <c r="Q96" i="1" s="1"/>
  <c r="L271" i="1" l="1"/>
  <c r="Q271" i="1" s="1"/>
  <c r="L270" i="1"/>
  <c r="L147" i="1" l="1"/>
  <c r="Q222" i="1" l="1"/>
  <c r="Q132" i="1"/>
  <c r="L146" i="1" l="1"/>
  <c r="Q270" i="1" s="1"/>
  <c r="L120" i="1"/>
  <c r="L14" i="1"/>
  <c r="Q14" i="1" s="1"/>
  <c r="Q120" i="1" l="1"/>
  <c r="Q103" i="1"/>
  <c r="L239" i="1"/>
  <c r="L206" i="1"/>
  <c r="Q206" i="1" s="1"/>
  <c r="L145" i="1" l="1"/>
  <c r="Q209" i="1" l="1"/>
  <c r="Q150" i="1"/>
  <c r="Q145" i="1"/>
  <c r="Q99" i="1"/>
  <c r="L205" i="1" l="1"/>
  <c r="Q205" i="1" l="1"/>
  <c r="L265" i="1"/>
  <c r="Q265" i="1" l="1"/>
  <c r="Q52" i="1"/>
  <c r="L204" i="1"/>
  <c r="Q204" i="1" s="1"/>
  <c r="L269" i="1" l="1"/>
  <c r="Q269" i="1" s="1"/>
  <c r="L98" i="1" l="1"/>
  <c r="Q239" i="1" l="1"/>
  <c r="Q134" i="1"/>
  <c r="Q98" i="1"/>
  <c r="L144" i="1"/>
  <c r="L119" i="1"/>
  <c r="Q119" i="1" s="1"/>
  <c r="L118" i="1"/>
  <c r="Q190" i="1" s="1"/>
  <c r="L117" i="1"/>
  <c r="Q118" i="1" l="1"/>
  <c r="Q39" i="1"/>
  <c r="Q117" i="1"/>
  <c r="Q151" i="1"/>
  <c r="Q144" i="1"/>
  <c r="L203" i="1" l="1"/>
  <c r="Q203" i="1" l="1"/>
  <c r="Q15" i="1"/>
  <c r="L285" i="1"/>
  <c r="Q130" i="1" s="1"/>
  <c r="L284" i="1"/>
  <c r="L283" i="1"/>
  <c r="Q283" i="1" s="1"/>
  <c r="L282" i="1"/>
  <c r="L281" i="1"/>
  <c r="Q281" i="1" s="1"/>
  <c r="L280" i="1"/>
  <c r="L279" i="1"/>
  <c r="L278" i="1"/>
  <c r="Q153" i="1" s="1"/>
  <c r="L277" i="1"/>
  <c r="Q277" i="1" s="1"/>
  <c r="L267" i="1"/>
  <c r="Q267" i="1" s="1"/>
  <c r="L264" i="1"/>
  <c r="Q162" i="1" s="1"/>
  <c r="L263" i="1"/>
  <c r="L261" i="1"/>
  <c r="Q261" i="1" s="1"/>
  <c r="L259" i="1"/>
  <c r="Q259" i="1" s="1"/>
  <c r="L257" i="1"/>
  <c r="Q257" i="1" s="1"/>
  <c r="L252" i="1"/>
  <c r="Q255" i="1" s="1"/>
  <c r="L251" i="1"/>
  <c r="Q251" i="1" s="1"/>
  <c r="L250" i="1"/>
  <c r="Q250" i="1" s="1"/>
  <c r="L248" i="1"/>
  <c r="Q248" i="1" s="1"/>
  <c r="L202" i="1"/>
  <c r="L201" i="1"/>
  <c r="L200" i="1"/>
  <c r="Q9" i="1" s="1"/>
  <c r="L197" i="1"/>
  <c r="L195" i="1"/>
  <c r="L194" i="1"/>
  <c r="L188" i="1"/>
  <c r="Q188" i="1" s="1"/>
  <c r="L187" i="1"/>
  <c r="Q187" i="1" s="1"/>
  <c r="L116" i="1"/>
  <c r="L115" i="1"/>
  <c r="Q116" i="1" l="1"/>
  <c r="Q189" i="1"/>
  <c r="Q147" i="1"/>
  <c r="Q146" i="1"/>
  <c r="Q31" i="1"/>
  <c r="Q47" i="1"/>
  <c r="Q126" i="1"/>
  <c r="Q195" i="1"/>
  <c r="Q21" i="1"/>
  <c r="Q263" i="1"/>
  <c r="Q148" i="1"/>
  <c r="Q279" i="1"/>
  <c r="Q243" i="1"/>
  <c r="Q280" i="1"/>
  <c r="Q221" i="1"/>
  <c r="Q197" i="1"/>
  <c r="Q216" i="1"/>
  <c r="Q264" i="1"/>
  <c r="Q50" i="1"/>
  <c r="Q201" i="1"/>
  <c r="Q100" i="1"/>
  <c r="Q278" i="1"/>
  <c r="Q284" i="1"/>
  <c r="Q285" i="1"/>
  <c r="Q202" i="1"/>
  <c r="Q282" i="1"/>
  <c r="Q115" i="1"/>
  <c r="H142" i="5"/>
  <c r="I142" i="5" s="1"/>
  <c r="H137" i="5"/>
  <c r="I137" i="5" s="1"/>
  <c r="H136" i="5"/>
  <c r="I136" i="5" s="1"/>
  <c r="K141" i="5" l="1"/>
  <c r="K140" i="5"/>
  <c r="K139" i="5"/>
  <c r="K138" i="5"/>
  <c r="K135" i="5"/>
  <c r="K134" i="5"/>
  <c r="K133" i="5"/>
  <c r="K132" i="5"/>
  <c r="K131" i="5"/>
  <c r="K130" i="5"/>
  <c r="I141" i="5"/>
  <c r="I140" i="5"/>
  <c r="I139" i="5"/>
  <c r="I138" i="5"/>
  <c r="I135" i="5"/>
  <c r="I134" i="5"/>
  <c r="I133" i="5"/>
  <c r="I132" i="5"/>
  <c r="I131" i="5"/>
  <c r="I130" i="5"/>
  <c r="Q207" i="1" l="1"/>
  <c r="L130" i="5"/>
  <c r="L134" i="5"/>
  <c r="L140" i="5"/>
  <c r="L132" i="5"/>
  <c r="L131" i="5"/>
  <c r="L135" i="5"/>
  <c r="L141" i="5"/>
  <c r="L133" i="5"/>
  <c r="L139" i="5"/>
  <c r="L138" i="5"/>
  <c r="K129" i="5"/>
  <c r="K128" i="5"/>
  <c r="K127" i="5"/>
  <c r="K126" i="5"/>
  <c r="K125" i="5"/>
  <c r="K124" i="5"/>
  <c r="K123" i="5"/>
  <c r="K122" i="5"/>
  <c r="K121" i="5"/>
  <c r="K120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I129" i="5" l="1"/>
  <c r="L129" i="5" s="1"/>
  <c r="I128" i="5"/>
  <c r="L128" i="5" s="1"/>
  <c r="I127" i="5"/>
  <c r="L127" i="5" s="1"/>
  <c r="I126" i="5"/>
  <c r="L126" i="5" s="1"/>
  <c r="Q2" i="1" l="1"/>
  <c r="G18" i="5" l="1"/>
  <c r="I125" i="5"/>
  <c r="L125" i="5" s="1"/>
  <c r="I124" i="5"/>
  <c r="L124" i="5" s="1"/>
  <c r="I123" i="5"/>
  <c r="L123" i="5" s="1"/>
  <c r="I122" i="5"/>
  <c r="L122" i="5" s="1"/>
  <c r="I121" i="5"/>
  <c r="L121" i="5" s="1"/>
  <c r="I120" i="5"/>
  <c r="L120" i="5" s="1"/>
  <c r="I119" i="5"/>
  <c r="L119" i="5" s="1"/>
  <c r="I118" i="5"/>
  <c r="I117" i="5"/>
  <c r="L117" i="5" s="1"/>
  <c r="I116" i="5"/>
  <c r="L116" i="5" s="1"/>
  <c r="I115" i="5"/>
  <c r="L115" i="5" s="1"/>
  <c r="I114" i="5"/>
  <c r="L114" i="5" s="1"/>
  <c r="I113" i="5"/>
  <c r="L113" i="5" s="1"/>
  <c r="I112" i="5"/>
  <c r="L112" i="5" s="1"/>
  <c r="I111" i="5"/>
  <c r="L111" i="5" s="1"/>
  <c r="I110" i="5"/>
  <c r="L110" i="5" s="1"/>
  <c r="I109" i="5"/>
  <c r="L109" i="5" s="1"/>
  <c r="I108" i="5"/>
  <c r="L108" i="5" s="1"/>
  <c r="H107" i="5"/>
  <c r="I107" i="5" s="1"/>
  <c r="L107" i="5" s="1"/>
  <c r="K106" i="5"/>
  <c r="H106" i="5"/>
  <c r="I106" i="5" s="1"/>
  <c r="L106" i="5" l="1"/>
  <c r="J93" i="5" l="1"/>
  <c r="J51" i="5" l="1"/>
  <c r="K12" i="5" l="1"/>
  <c r="J4" i="5"/>
  <c r="K4" i="5" s="1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1" i="5"/>
  <c r="K10" i="5"/>
  <c r="K9" i="5"/>
  <c r="K8" i="5"/>
  <c r="K7" i="5"/>
  <c r="K6" i="5"/>
  <c r="K5" i="5"/>
  <c r="K3" i="5"/>
  <c r="K2" i="5"/>
  <c r="H105" i="5"/>
  <c r="H104" i="5"/>
  <c r="I104" i="5" s="1"/>
  <c r="H103" i="5"/>
  <c r="I103" i="5" s="1"/>
  <c r="H102" i="5"/>
  <c r="I102" i="5" s="1"/>
  <c r="H101" i="5"/>
  <c r="H100" i="5"/>
  <c r="H99" i="5"/>
  <c r="I99" i="5" s="1"/>
  <c r="H98" i="5"/>
  <c r="I98" i="5" s="1"/>
  <c r="H97" i="5"/>
  <c r="I97" i="5" s="1"/>
  <c r="H96" i="5"/>
  <c r="I96" i="5" s="1"/>
  <c r="H95" i="5"/>
  <c r="I95" i="5" s="1"/>
  <c r="H94" i="5"/>
  <c r="I94" i="5" s="1"/>
  <c r="H93" i="5"/>
  <c r="I93" i="5" s="1"/>
  <c r="H92" i="5"/>
  <c r="I92" i="5" s="1"/>
  <c r="H91" i="5"/>
  <c r="I91" i="5" s="1"/>
  <c r="H90" i="5"/>
  <c r="I90" i="5" s="1"/>
  <c r="H89" i="5"/>
  <c r="I89" i="5" s="1"/>
  <c r="H88" i="5"/>
  <c r="I88" i="5" s="1"/>
  <c r="H87" i="5"/>
  <c r="I87" i="5" s="1"/>
  <c r="H86" i="5"/>
  <c r="I86" i="5" s="1"/>
  <c r="H85" i="5"/>
  <c r="I85" i="5" s="1"/>
  <c r="H84" i="5"/>
  <c r="I84" i="5" s="1"/>
  <c r="H83" i="5"/>
  <c r="I83" i="5" s="1"/>
  <c r="H82" i="5"/>
  <c r="I82" i="5" s="1"/>
  <c r="H81" i="5"/>
  <c r="I81" i="5" s="1"/>
  <c r="H80" i="5"/>
  <c r="I80" i="5" s="1"/>
  <c r="H79" i="5"/>
  <c r="I79" i="5" s="1"/>
  <c r="H78" i="5"/>
  <c r="I78" i="5" s="1"/>
  <c r="H77" i="5"/>
  <c r="I77" i="5" s="1"/>
  <c r="H76" i="5"/>
  <c r="I76" i="5" s="1"/>
  <c r="H75" i="5"/>
  <c r="I75" i="5" s="1"/>
  <c r="H74" i="5"/>
  <c r="I74" i="5" s="1"/>
  <c r="H73" i="5"/>
  <c r="I73" i="5" s="1"/>
  <c r="H72" i="5"/>
  <c r="I72" i="5" s="1"/>
  <c r="H71" i="5"/>
  <c r="I71" i="5" s="1"/>
  <c r="H70" i="5"/>
  <c r="I70" i="5" s="1"/>
  <c r="H69" i="5"/>
  <c r="I69" i="5" s="1"/>
  <c r="H68" i="5"/>
  <c r="I68" i="5" s="1"/>
  <c r="H67" i="5"/>
  <c r="I67" i="5" s="1"/>
  <c r="H66" i="5"/>
  <c r="I66" i="5" s="1"/>
  <c r="H65" i="5"/>
  <c r="I65" i="5" s="1"/>
  <c r="H64" i="5"/>
  <c r="I64" i="5" s="1"/>
  <c r="H63" i="5"/>
  <c r="I63" i="5" s="1"/>
  <c r="H62" i="5"/>
  <c r="I62" i="5" s="1"/>
  <c r="H61" i="5"/>
  <c r="I61" i="5" s="1"/>
  <c r="H60" i="5"/>
  <c r="I60" i="5" s="1"/>
  <c r="H59" i="5"/>
  <c r="I59" i="5" s="1"/>
  <c r="H58" i="5"/>
  <c r="I58" i="5" s="1"/>
  <c r="H57" i="5"/>
  <c r="I57" i="5" s="1"/>
  <c r="H56" i="5"/>
  <c r="I56" i="5" s="1"/>
  <c r="H55" i="5"/>
  <c r="I55" i="5" s="1"/>
  <c r="H54" i="5"/>
  <c r="I54" i="5" s="1"/>
  <c r="H53" i="5"/>
  <c r="I53" i="5" s="1"/>
  <c r="H52" i="5"/>
  <c r="I52" i="5" s="1"/>
  <c r="H51" i="5"/>
  <c r="I51" i="5" s="1"/>
  <c r="H50" i="5"/>
  <c r="I50" i="5" s="1"/>
  <c r="H49" i="5"/>
  <c r="I49" i="5" s="1"/>
  <c r="H48" i="5"/>
  <c r="I48" i="5" s="1"/>
  <c r="H47" i="5"/>
  <c r="I47" i="5" s="1"/>
  <c r="H46" i="5"/>
  <c r="I46" i="5" s="1"/>
  <c r="H45" i="5"/>
  <c r="I45" i="5" s="1"/>
  <c r="H44" i="5"/>
  <c r="I44" i="5" s="1"/>
  <c r="H43" i="5"/>
  <c r="I43" i="5" s="1"/>
  <c r="H42" i="5"/>
  <c r="I42" i="5" s="1"/>
  <c r="H41" i="5"/>
  <c r="I41" i="5" s="1"/>
  <c r="H40" i="5"/>
  <c r="I40" i="5" s="1"/>
  <c r="H39" i="5"/>
  <c r="I39" i="5" s="1"/>
  <c r="H38" i="5"/>
  <c r="I38" i="5" s="1"/>
  <c r="H37" i="5"/>
  <c r="I37" i="5" s="1"/>
  <c r="H36" i="5"/>
  <c r="I36" i="5" s="1"/>
  <c r="H35" i="5"/>
  <c r="I35" i="5" s="1"/>
  <c r="H34" i="5"/>
  <c r="I34" i="5" s="1"/>
  <c r="H33" i="5"/>
  <c r="I33" i="5" s="1"/>
  <c r="H32" i="5"/>
  <c r="I32" i="5" s="1"/>
  <c r="H31" i="5"/>
  <c r="I31" i="5" s="1"/>
  <c r="H30" i="5"/>
  <c r="I30" i="5" s="1"/>
  <c r="H29" i="5"/>
  <c r="I29" i="5" s="1"/>
  <c r="H28" i="5"/>
  <c r="I28" i="5" s="1"/>
  <c r="H27" i="5"/>
  <c r="I27" i="5" s="1"/>
  <c r="H26" i="5"/>
  <c r="I26" i="5" s="1"/>
  <c r="H25" i="5"/>
  <c r="I25" i="5" s="1"/>
  <c r="H24" i="5"/>
  <c r="I24" i="5" s="1"/>
  <c r="H23" i="5"/>
  <c r="I23" i="5" s="1"/>
  <c r="H22" i="5"/>
  <c r="I22" i="5" s="1"/>
  <c r="H21" i="5"/>
  <c r="I21" i="5" s="1"/>
  <c r="H20" i="5"/>
  <c r="I20" i="5" s="1"/>
  <c r="H19" i="5"/>
  <c r="I19" i="5" s="1"/>
  <c r="H18" i="5"/>
  <c r="I18" i="5" s="1"/>
  <c r="H17" i="5"/>
  <c r="I17" i="5" s="1"/>
  <c r="H16" i="5"/>
  <c r="I16" i="5" s="1"/>
  <c r="H15" i="5"/>
  <c r="I15" i="5" s="1"/>
  <c r="H14" i="5"/>
  <c r="I14" i="5" s="1"/>
  <c r="H13" i="5"/>
  <c r="I13" i="5" s="1"/>
  <c r="H12" i="5"/>
  <c r="I12" i="5" s="1"/>
  <c r="H11" i="5"/>
  <c r="I11" i="5" s="1"/>
  <c r="H10" i="5"/>
  <c r="I10" i="5" s="1"/>
  <c r="H9" i="5"/>
  <c r="I9" i="5" s="1"/>
  <c r="H8" i="5"/>
  <c r="I8" i="5" s="1"/>
  <c r="H7" i="5"/>
  <c r="I7" i="5" s="1"/>
  <c r="H6" i="5"/>
  <c r="I6" i="5" s="1"/>
  <c r="H5" i="5"/>
  <c r="I5" i="5" s="1"/>
  <c r="H4" i="5"/>
  <c r="I4" i="5" s="1"/>
  <c r="H3" i="5"/>
  <c r="I3" i="5" s="1"/>
  <c r="H2" i="5"/>
  <c r="I2" i="5" s="1"/>
  <c r="I105" i="5"/>
  <c r="I101" i="5"/>
  <c r="I100" i="5"/>
  <c r="L6" i="5" l="1"/>
  <c r="L10" i="5"/>
  <c r="L5" i="5"/>
  <c r="L9" i="5"/>
  <c r="L11" i="5"/>
  <c r="L8" i="5"/>
  <c r="L7" i="5"/>
  <c r="L99" i="5"/>
  <c r="L103" i="5"/>
  <c r="L15" i="5"/>
  <c r="L19" i="5"/>
  <c r="L23" i="5"/>
  <c r="L27" i="5"/>
  <c r="L31" i="5"/>
  <c r="L35" i="5"/>
  <c r="L39" i="5"/>
  <c r="L43" i="5"/>
  <c r="L47" i="5"/>
  <c r="L51" i="5"/>
  <c r="L55" i="5"/>
  <c r="L59" i="5"/>
  <c r="L63" i="5"/>
  <c r="L67" i="5"/>
  <c r="L71" i="5"/>
  <c r="L75" i="5"/>
  <c r="L79" i="5"/>
  <c r="L83" i="5"/>
  <c r="L87" i="5"/>
  <c r="L91" i="5"/>
  <c r="L95" i="5"/>
  <c r="L3" i="5"/>
  <c r="L70" i="5"/>
  <c r="L78" i="5"/>
  <c r="L86" i="5"/>
  <c r="L94" i="5"/>
  <c r="L69" i="5"/>
  <c r="L77" i="5"/>
  <c r="L85" i="5"/>
  <c r="L93" i="5"/>
  <c r="L4" i="5"/>
  <c r="L12" i="5"/>
  <c r="L66" i="5"/>
  <c r="L74" i="5"/>
  <c r="L82" i="5"/>
  <c r="L90" i="5"/>
  <c r="L98" i="5"/>
  <c r="L102" i="5"/>
  <c r="L14" i="5"/>
  <c r="L18" i="5"/>
  <c r="L22" i="5"/>
  <c r="L26" i="5"/>
  <c r="L30" i="5"/>
  <c r="L34" i="5"/>
  <c r="L38" i="5"/>
  <c r="L42" i="5"/>
  <c r="L46" i="5"/>
  <c r="L50" i="5"/>
  <c r="L54" i="5"/>
  <c r="L58" i="5"/>
  <c r="L62" i="5"/>
  <c r="L100" i="5"/>
  <c r="L16" i="5"/>
  <c r="L24" i="5"/>
  <c r="L36" i="5"/>
  <c r="L44" i="5"/>
  <c r="L52" i="5"/>
  <c r="L60" i="5"/>
  <c r="L64" i="5"/>
  <c r="L72" i="5"/>
  <c r="L76" i="5"/>
  <c r="L80" i="5"/>
  <c r="L84" i="5"/>
  <c r="L88" i="5"/>
  <c r="L92" i="5"/>
  <c r="L96" i="5"/>
  <c r="L73" i="5"/>
  <c r="L81" i="5"/>
  <c r="L89" i="5"/>
  <c r="L97" i="5"/>
  <c r="L101" i="5"/>
  <c r="L105" i="5"/>
  <c r="L13" i="5"/>
  <c r="L17" i="5"/>
  <c r="L21" i="5"/>
  <c r="L25" i="5"/>
  <c r="L29" i="5"/>
  <c r="L33" i="5"/>
  <c r="L37" i="5"/>
  <c r="L41" i="5"/>
  <c r="L45" i="5"/>
  <c r="L49" i="5"/>
  <c r="L53" i="5"/>
  <c r="L57" i="5"/>
  <c r="L61" i="5"/>
  <c r="L65" i="5"/>
  <c r="L104" i="5"/>
  <c r="L20" i="5"/>
  <c r="L28" i="5"/>
  <c r="L32" i="5"/>
  <c r="L40" i="5"/>
  <c r="L48" i="5"/>
  <c r="L56" i="5"/>
  <c r="L68" i="5"/>
  <c r="L2" i="5"/>
  <c r="L294" i="1" l="1"/>
  <c r="E25" i="4" l="1"/>
  <c r="D61" i="2" l="1"/>
  <c r="G60" i="2"/>
  <c r="G61" i="2" s="1"/>
  <c r="F59" i="2"/>
  <c r="F61" i="2" s="1"/>
  <c r="H59" i="2" l="1"/>
  <c r="H60" i="2"/>
  <c r="H61" i="2" l="1"/>
  <c r="I60" i="2" s="1"/>
  <c r="J60" i="2" s="1"/>
  <c r="L60" i="2" l="1"/>
  <c r="I59" i="2"/>
  <c r="J59" i="2" s="1"/>
  <c r="J61" i="2" l="1"/>
  <c r="K60" i="2" s="1"/>
  <c r="L59" i="2"/>
  <c r="L61" i="2" l="1"/>
  <c r="M59" i="2" s="1"/>
  <c r="K59" i="2"/>
  <c r="O59" i="2" l="1"/>
  <c r="M60" i="2"/>
  <c r="P59" i="2" l="1"/>
  <c r="Q59" i="2" s="1"/>
  <c r="O35" i="2" l="1"/>
  <c r="N45" i="2"/>
  <c r="N47" i="2" s="1"/>
  <c r="D53" i="2" l="1"/>
  <c r="G52" i="2"/>
  <c r="H52" i="2" s="1"/>
  <c r="P51" i="2"/>
  <c r="Q51" i="2" s="1"/>
  <c r="F51" i="2"/>
  <c r="F53" i="2" s="1"/>
  <c r="H51" i="2" l="1"/>
  <c r="G53" i="2"/>
  <c r="H53" i="2" l="1"/>
  <c r="J52" i="2" s="1"/>
  <c r="K52" i="2" l="1"/>
  <c r="L52" i="2"/>
  <c r="J51" i="2"/>
  <c r="K51" i="2" l="1"/>
  <c r="L51" i="2"/>
  <c r="L53" i="2" l="1"/>
  <c r="M52" i="2" s="1"/>
  <c r="M51" i="2" l="1"/>
  <c r="D15" i="2" l="1"/>
  <c r="O44" i="2"/>
  <c r="O45" i="2" s="1"/>
  <c r="O47" i="2" s="1"/>
  <c r="Q35" i="1" l="1"/>
  <c r="O23" i="2"/>
  <c r="D35" i="2" l="1"/>
  <c r="G34" i="2"/>
  <c r="G35" i="2" s="1"/>
  <c r="F33" i="2"/>
  <c r="F35" i="2" s="1"/>
  <c r="H34" i="2" l="1"/>
  <c r="H33" i="2"/>
  <c r="H35" i="2" l="1"/>
  <c r="I34" i="2" l="1"/>
  <c r="J34" i="2" s="1"/>
  <c r="K34" i="2" s="1"/>
  <c r="J36" i="2"/>
  <c r="I33" i="2"/>
  <c r="J33" i="2" s="1"/>
  <c r="L33" i="2" s="1"/>
  <c r="L34" i="2" l="1"/>
  <c r="L35" i="2" s="1"/>
  <c r="K33" i="2"/>
  <c r="M33" i="2" l="1"/>
  <c r="M34" i="2"/>
  <c r="P33" i="2"/>
  <c r="Q33" i="2" s="1"/>
  <c r="R257" i="1" l="1"/>
  <c r="D5" i="3" l="1"/>
  <c r="D4" i="3"/>
  <c r="K25" i="2" l="1"/>
  <c r="K27" i="2" s="1"/>
  <c r="K29" i="2" s="1"/>
  <c r="D8" i="2"/>
  <c r="K13" i="2"/>
  <c r="K14" i="2" s="1"/>
  <c r="K16" i="2" s="1"/>
  <c r="G7" i="2"/>
  <c r="G8" i="2" s="1"/>
  <c r="F6" i="2"/>
  <c r="H6" i="2" l="1"/>
  <c r="F8" i="2"/>
  <c r="H7" i="2"/>
  <c r="H8" i="2" l="1"/>
  <c r="I6" i="2" s="1"/>
  <c r="J6" i="2" s="1"/>
  <c r="L6" i="2" s="1"/>
  <c r="I7" i="2" l="1"/>
  <c r="J7" i="2" s="1"/>
  <c r="J8" i="2" s="1"/>
  <c r="K17" i="2"/>
  <c r="K18" i="2" s="1"/>
  <c r="P18" i="2" s="1"/>
  <c r="L7" i="2" l="1"/>
  <c r="L8" i="2" s="1"/>
  <c r="O6" i="2" s="1"/>
  <c r="P6" i="2" s="1"/>
  <c r="Q6" i="2" s="1"/>
  <c r="K6" i="2"/>
  <c r="K7" i="2"/>
  <c r="M7" i="2" l="1"/>
  <c r="M6" i="2"/>
  <c r="Q4" i="1" l="1"/>
  <c r="Q194" i="1" l="1"/>
  <c r="Q17" i="1" l="1"/>
  <c r="Q200" i="1" l="1"/>
  <c r="Q41" i="1"/>
  <c r="J114" i="1" l="1"/>
  <c r="Q252" i="1"/>
  <c r="Q156" i="1"/>
  <c r="Q217" i="1"/>
  <c r="Q218" i="1"/>
  <c r="Q245" i="1"/>
  <c r="J13" i="1" l="1"/>
  <c r="L13" i="1"/>
  <c r="L287" i="1" l="1"/>
  <c r="J287" i="1"/>
  <c r="M8" i="1" l="1"/>
  <c r="M287" i="1"/>
  <c r="L186" i="1"/>
  <c r="M191" i="1" s="1"/>
  <c r="M186" i="1"/>
  <c r="L191" i="1" l="1"/>
  <c r="L94" i="1" l="1"/>
  <c r="M94" i="1"/>
  <c r="M182" i="1"/>
  <c r="M143" i="1"/>
  <c r="M13" i="1"/>
  <c r="M114" i="1"/>
  <c r="L196" i="1"/>
  <c r="M196" i="1"/>
  <c r="Q3" i="1"/>
  <c r="M199" i="1" l="1"/>
  <c r="L199" i="1"/>
  <c r="M247" i="1" s="1"/>
  <c r="L247" i="1"/>
  <c r="L97" i="1"/>
  <c r="M97" i="1"/>
  <c r="M249" i="1"/>
  <c r="L249" i="1"/>
  <c r="M192" i="1" l="1"/>
  <c r="L114" i="1"/>
  <c r="I13" i="1"/>
  <c r="L143" i="1" l="1"/>
  <c r="M238" i="1" s="1"/>
  <c r="L182" i="1"/>
  <c r="L238" i="1" s="1"/>
  <c r="K287" i="1"/>
  <c r="I287" i="1"/>
  <c r="L192" i="1" l="1"/>
  <c r="L256" i="1"/>
  <c r="M256" i="1"/>
  <c r="M258" i="1"/>
  <c r="L258" i="1"/>
  <c r="K186" i="1"/>
  <c r="L260" i="1" l="1"/>
  <c r="M260" i="1"/>
  <c r="H186" i="1"/>
  <c r="K191" i="1"/>
  <c r="M262" i="1" l="1"/>
  <c r="L262" i="1"/>
  <c r="K196" i="1"/>
  <c r="H191" i="1"/>
  <c r="M266" i="1" l="1"/>
  <c r="L266" i="1"/>
  <c r="H196" i="1"/>
  <c r="K199" i="1"/>
  <c r="K247" i="1" s="1"/>
  <c r="K249" i="1" s="1"/>
  <c r="K13" i="1"/>
  <c r="K94" i="1" l="1"/>
  <c r="M268" i="1"/>
  <c r="L268" i="1"/>
  <c r="L273" i="1" s="1"/>
  <c r="L275" i="1" s="1"/>
  <c r="M273" i="1"/>
  <c r="M275" i="1" s="1"/>
  <c r="K97" i="1"/>
  <c r="H199" i="1"/>
  <c r="H247" i="1" s="1"/>
  <c r="H249" i="1" s="1"/>
  <c r="K114" i="1" l="1"/>
  <c r="K143" i="1" s="1"/>
  <c r="H114" i="1"/>
  <c r="R114" i="1" l="1"/>
  <c r="K182" i="1"/>
  <c r="K192" i="1" s="1"/>
  <c r="H143" i="1"/>
  <c r="H182" i="1" s="1"/>
  <c r="H238" i="1" s="1"/>
  <c r="K238" i="1"/>
  <c r="H192" i="1" l="1"/>
  <c r="K256" i="1"/>
  <c r="K258" i="1" s="1"/>
  <c r="H256" i="1"/>
  <c r="H258" i="1" s="1"/>
  <c r="H260" i="1"/>
  <c r="K260" i="1"/>
  <c r="H262" i="1"/>
  <c r="H266" i="1" s="1"/>
  <c r="H268" i="1" s="1"/>
  <c r="I186" i="1"/>
  <c r="I191" i="1" s="1"/>
  <c r="J186" i="1"/>
  <c r="K262" i="1" l="1"/>
  <c r="K266" i="1" s="1"/>
  <c r="K268" i="1" s="1"/>
  <c r="H273" i="1"/>
  <c r="H275" i="1" s="1"/>
  <c r="J97" i="1"/>
  <c r="I196" i="1"/>
  <c r="I97" i="1"/>
  <c r="I114" i="1" s="1"/>
  <c r="J191" i="1"/>
  <c r="I199" i="1" l="1"/>
  <c r="J143" i="1"/>
  <c r="J182" i="1" s="1"/>
  <c r="I143" i="1"/>
  <c r="I182" i="1" s="1"/>
  <c r="K273" i="1"/>
  <c r="K275" i="1" s="1"/>
  <c r="I247" i="1"/>
  <c r="I249" i="1" s="1"/>
  <c r="J199" i="1"/>
  <c r="I192" i="1" l="1"/>
  <c r="J247" i="1"/>
  <c r="J249" i="1" s="1"/>
  <c r="I238" i="1"/>
  <c r="J238" i="1"/>
  <c r="J256" i="1" s="1"/>
  <c r="J258" i="1" s="1"/>
  <c r="J266" i="1" s="1"/>
  <c r="I260" i="1"/>
  <c r="I256" i="1" l="1"/>
  <c r="I258" i="1" s="1"/>
  <c r="I262" i="1"/>
  <c r="I266" i="1" s="1"/>
  <c r="I268" i="1" s="1"/>
  <c r="I273" i="1"/>
  <c r="J273" i="1"/>
  <c r="J268" i="1"/>
  <c r="J275" i="1" l="1"/>
  <c r="J94" i="1" s="1"/>
  <c r="J192" i="1" s="1"/>
  <c r="I275" i="1"/>
</calcChain>
</file>

<file path=xl/comments1.xml><?xml version="1.0" encoding="utf-8"?>
<comments xmlns="http://schemas.openxmlformats.org/spreadsheetml/2006/main">
  <authors>
    <author>Administrator</author>
  </authors>
  <commentList>
    <comment ref="K240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collected in ICICI 418 on 15-12-2025</t>
        </r>
      </text>
    </comment>
    <comment ref="K241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ADVANCE RECEIVED IN BANK-20000</t>
        </r>
      </text>
    </comment>
    <comment ref="H250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Rs,100000 RECEIVED IN BANK 26-05-202</t>
        </r>
      </text>
    </comment>
    <comment ref="H257" authorId="0" shapeId="0">
      <text>
        <r>
          <rPr>
            <b/>
            <sz val="9"/>
            <color indexed="81"/>
            <rFont val="Tahoma"/>
            <charset val="1"/>
          </rPr>
          <t>Administrator:</t>
        </r>
        <r>
          <rPr>
            <sz val="9"/>
            <color indexed="81"/>
            <rFont val="Tahoma"/>
            <charset val="1"/>
          </rPr>
          <t xml:space="preserve">
RECEIVED IN BANK ON 20.02.2026 -33750</t>
        </r>
      </text>
    </comment>
    <comment ref="K257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RECEIVED IN BANK ON 20.02.2026</t>
        </r>
      </text>
    </comment>
    <comment ref="K261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advance 15000 received on 21-07-2025</t>
        </r>
      </text>
    </comment>
  </commentList>
</comments>
</file>

<file path=xl/sharedStrings.xml><?xml version="1.0" encoding="utf-8"?>
<sst xmlns="http://schemas.openxmlformats.org/spreadsheetml/2006/main" count="2835" uniqueCount="909">
  <si>
    <t>Party Name</t>
  </si>
  <si>
    <t>Vr.Dt</t>
  </si>
  <si>
    <t>Vr.No</t>
  </si>
  <si>
    <t>Ledger</t>
  </si>
  <si>
    <t>Agenet Name</t>
  </si>
  <si>
    <t>Due Day</t>
  </si>
  <si>
    <t>Soham Roy Sales</t>
  </si>
  <si>
    <t>Microsoft Azure Usage Sales</t>
  </si>
  <si>
    <t>Partha Bhattacharyya-Sales</t>
  </si>
  <si>
    <t>Rupam Paul Sales</t>
  </si>
  <si>
    <t>Swapna Printing Works Pvt Ltd</t>
  </si>
  <si>
    <t>Accounting Services</t>
  </si>
  <si>
    <t>Riya Das Sales</t>
  </si>
  <si>
    <t>License Office 365 Business Essential / Basic</t>
  </si>
  <si>
    <t>Williamson Magor &amp; Co.Ltd.</t>
  </si>
  <si>
    <t>Surojit Sadhukhan- Sales</t>
  </si>
  <si>
    <t>Tally Customization Fees</t>
  </si>
  <si>
    <t>Victory ROPE &amp; TWINE CO</t>
  </si>
  <si>
    <t>CRM Resource Services</t>
  </si>
  <si>
    <t>Forward Footwear Industries</t>
  </si>
  <si>
    <t>Intercon Impex Pvt. Ltd.</t>
  </si>
  <si>
    <t>VNG. Carrier</t>
  </si>
  <si>
    <t>AWCS0025 CL AWS Consumption Charges</t>
  </si>
  <si>
    <t>Tally Software Services - Gold</t>
  </si>
  <si>
    <t>C</t>
  </si>
  <si>
    <t>S</t>
  </si>
  <si>
    <t>L</t>
  </si>
  <si>
    <t>N</t>
  </si>
  <si>
    <t>Pallab Paul Sales</t>
  </si>
  <si>
    <t>Selvel Advertising Private Limited</t>
  </si>
  <si>
    <t>West Bengal State Forest Development Agency</t>
  </si>
  <si>
    <t>CREATED</t>
  </si>
  <si>
    <t>COLLECTED</t>
  </si>
  <si>
    <t>AMC For Tally Software Services (Existing)</t>
  </si>
  <si>
    <t>Tally Software Services - Silver</t>
  </si>
  <si>
    <t>Chemgems India (P) Limited</t>
  </si>
  <si>
    <t>McLEOD RUSSEL INDIAN LIMITED</t>
  </si>
  <si>
    <t>Indian Institute of Management Calcutta</t>
  </si>
  <si>
    <t>SS/PI/0448/24-25</t>
  </si>
  <si>
    <t>SS/PI/0280/24-25</t>
  </si>
  <si>
    <t>Tally Implementation Fees</t>
  </si>
  <si>
    <t>Service Charges for Cloud Management</t>
  </si>
  <si>
    <t>Payroll Customisation</t>
  </si>
  <si>
    <t>Utpal Dhar Sales</t>
  </si>
  <si>
    <t>n</t>
  </si>
  <si>
    <t>OutStnd. Total-TAX</t>
  </si>
  <si>
    <t>Ma Chandi Realcon Private Limited</t>
  </si>
  <si>
    <t>TOTAL PI</t>
  </si>
  <si>
    <t>Victory International</t>
  </si>
  <si>
    <t>GOKUL SHREE</t>
  </si>
  <si>
    <t>Double/0008/23-24</t>
  </si>
  <si>
    <t>Double/0006/23-24</t>
  </si>
  <si>
    <t>Double/0014/23-24</t>
  </si>
  <si>
    <t>Double/0013/23-24</t>
  </si>
  <si>
    <t>Double/0015/23-24</t>
  </si>
  <si>
    <t>UTPAL DA+SOHAM</t>
  </si>
  <si>
    <t>ANJANA+SOHAM</t>
  </si>
  <si>
    <t>SOHAM</t>
  </si>
  <si>
    <t>TOTAL DOUBLE PI</t>
  </si>
  <si>
    <t>SS/PI/0568/24-25</t>
  </si>
  <si>
    <t>BENGAL SHRACHI HOUSING DEVELOPMENT LTD.</t>
  </si>
  <si>
    <t>Ashis Pal</t>
  </si>
  <si>
    <t>MAAYA TYRES PVT LTD.</t>
  </si>
  <si>
    <t>sales</t>
  </si>
  <si>
    <t>purchases</t>
  </si>
  <si>
    <t>Frontend</t>
  </si>
  <si>
    <t>margin</t>
  </si>
  <si>
    <t>DYNAVISION</t>
  </si>
  <si>
    <t xml:space="preserve">Discount </t>
  </si>
  <si>
    <t>Backend</t>
  </si>
  <si>
    <t>Total</t>
  </si>
  <si>
    <t>percentage</t>
  </si>
  <si>
    <t>dis.per</t>
  </si>
  <si>
    <t>loss</t>
  </si>
  <si>
    <t>Received</t>
  </si>
  <si>
    <t>CN</t>
  </si>
  <si>
    <t>Balance</t>
  </si>
  <si>
    <t>Elcom</t>
  </si>
  <si>
    <t>to be received</t>
  </si>
  <si>
    <t>profit witout gst</t>
  </si>
  <si>
    <t>GST</t>
  </si>
  <si>
    <t>Net return</t>
  </si>
  <si>
    <t>Dynavision Share</t>
  </si>
  <si>
    <t>Silicon Share</t>
  </si>
  <si>
    <t>elcom</t>
  </si>
  <si>
    <t>Acupressure Health Mart</t>
  </si>
  <si>
    <t>SILICON</t>
  </si>
  <si>
    <t>rk wire</t>
  </si>
  <si>
    <t>comet</t>
  </si>
  <si>
    <t>ACC INFOTECH</t>
  </si>
  <si>
    <t>To be returned to Silicon(67500-18125)</t>
  </si>
  <si>
    <t>To be returned to us(67500-42187.5)</t>
  </si>
  <si>
    <t>Tally Prime Silver</t>
  </si>
  <si>
    <t>Shrachi Burdwan Developers Pvt Ltd.</t>
  </si>
  <si>
    <t>ACC INFOTECH Share</t>
  </si>
  <si>
    <t>Crayon Software Experts India Private Limited</t>
  </si>
  <si>
    <t>SS/72/25-26</t>
  </si>
  <si>
    <t>Technology Services</t>
  </si>
  <si>
    <t>Arrk Celebrations Private Limited</t>
  </si>
  <si>
    <t>acc infotech</t>
  </si>
  <si>
    <t>net margin</t>
  </si>
  <si>
    <t>for com-s</t>
  </si>
  <si>
    <t>sal.</t>
  </si>
  <si>
    <t>pur.</t>
  </si>
  <si>
    <t>com-s</t>
  </si>
  <si>
    <t>com-a</t>
  </si>
  <si>
    <t>To be returned to com-s(67500-18125)</t>
  </si>
  <si>
    <t>DOUBLE PI AS ON 18/04/2025</t>
  </si>
  <si>
    <t>Partake Exports Pvt. Ltd.</t>
  </si>
  <si>
    <t>SS/146/25-26</t>
  </si>
  <si>
    <t>SS/PI/0036/25-26</t>
  </si>
  <si>
    <t>EARTHYY BAGS</t>
  </si>
  <si>
    <t>SS/PI/0056/25-26</t>
  </si>
  <si>
    <t>Implementation Fee</t>
  </si>
  <si>
    <t>SS/185/25-26</t>
  </si>
  <si>
    <t>Sanico India Distributors Pvt Ltd.</t>
  </si>
  <si>
    <t>Advanced Logistic LLP</t>
  </si>
  <si>
    <t>SS/215/25-26</t>
  </si>
  <si>
    <t>ramdhoot</t>
  </si>
  <si>
    <t>Rathi Chempels (P) Limited</t>
  </si>
  <si>
    <t>Rakesh Mondal Sales</t>
  </si>
  <si>
    <t>SS/253/25-26</t>
  </si>
  <si>
    <t>Bill Send to PB</t>
  </si>
  <si>
    <t>Google Workspace Google Business Starter</t>
  </si>
  <si>
    <t>SS/287/25-26</t>
  </si>
  <si>
    <t>Domain Renewal</t>
  </si>
  <si>
    <t>SS/292/25-26</t>
  </si>
  <si>
    <t>Shree Lakshmi Furnico Private Limited</t>
  </si>
  <si>
    <t>Double/0001/25-26</t>
  </si>
  <si>
    <t>Surya Enterprise</t>
  </si>
  <si>
    <t>Titas Footwear Private Limited</t>
  </si>
  <si>
    <t>Azure Implementation Fees</t>
  </si>
  <si>
    <t>S.K Nasiruddin Biri Merchant Private Limited</t>
  </si>
  <si>
    <t>Cozy Casuals (I) Pvt Ltd</t>
  </si>
  <si>
    <t>SS/PI/0741/25-26</t>
  </si>
  <si>
    <t>SS/PI/0744/25-26</t>
  </si>
  <si>
    <t>Chunder Khator &amp; Associates</t>
  </si>
  <si>
    <t>Office 365 E-Mail Service (Without Team)</t>
  </si>
  <si>
    <t>SS/333/25-26</t>
  </si>
  <si>
    <t>next week</t>
  </si>
  <si>
    <t>details given to sir</t>
  </si>
  <si>
    <t>R.K.Wire Products Ltd.</t>
  </si>
  <si>
    <t>SS/345/25-26</t>
  </si>
  <si>
    <t>SS/367/25-26</t>
  </si>
  <si>
    <t>SS/354/25-26</t>
  </si>
  <si>
    <t>BTL EPC LTD.(Bengal Shrachi)</t>
  </si>
  <si>
    <t>SS/350/25-26</t>
  </si>
  <si>
    <t>Tally Support Fee</t>
  </si>
  <si>
    <t>Associated Industrial Furnaces Pvt. Ltd.</t>
  </si>
  <si>
    <t>Celica Motocorp Pvt. Ltd.</t>
  </si>
  <si>
    <t>SS/PI/0772/25-26</t>
  </si>
  <si>
    <t>Wabtec Texmaco Rail Private Limited</t>
  </si>
  <si>
    <t>Vote Earth Sustainable Textiles Private Limited</t>
  </si>
  <si>
    <t>Double/0003/25-26</t>
  </si>
  <si>
    <t>Debabrata Das</t>
  </si>
  <si>
    <t>SS/PI/0777/25-26</t>
  </si>
  <si>
    <t>SS/PI/0778/25-26</t>
  </si>
  <si>
    <t>Vignaharta Electronics LLP</t>
  </si>
  <si>
    <t>Swayam</t>
  </si>
  <si>
    <t>remarks 07-06-2025</t>
  </si>
  <si>
    <t>Remark 14-06-2025</t>
  </si>
  <si>
    <t>Tentative Collection Date 17-06-2025</t>
  </si>
  <si>
    <t>BMRC Hospitals Ltd</t>
  </si>
  <si>
    <t>SS/393/25-26</t>
  </si>
  <si>
    <t>Terrific Electricals LLP.</t>
  </si>
  <si>
    <t>SS/399/25-26</t>
  </si>
  <si>
    <t>Maansarovar Distributors</t>
  </si>
  <si>
    <t>SS/392/25-26</t>
  </si>
  <si>
    <t>Manilam Industries India Limited</t>
  </si>
  <si>
    <t>SS/403/25-26</t>
  </si>
  <si>
    <t>Speed Print (Dr.)</t>
  </si>
  <si>
    <t>Graphic Enterprises</t>
  </si>
  <si>
    <t>Imperium Energy Utility Services LLP</t>
  </si>
  <si>
    <t>SS/PI/0798/25-26</t>
  </si>
  <si>
    <t>SS/425/25-26</t>
  </si>
  <si>
    <t>DRG Softech Services LLP</t>
  </si>
  <si>
    <t>SS/PI/0805/25-26</t>
  </si>
  <si>
    <t>Vedanta Furniture</t>
  </si>
  <si>
    <t>SS/442/25-26</t>
  </si>
  <si>
    <t>SS/PI/0809/25-26</t>
  </si>
  <si>
    <t>SS/PI/0815/25-26</t>
  </si>
  <si>
    <t>Ideal Insurance Brokers Pvt Ltd</t>
  </si>
  <si>
    <t>Office 365 E-Mail Service (With Team&amp; WITHOUT Teams)</t>
  </si>
  <si>
    <t>SS/PI/0817/25-26</t>
  </si>
  <si>
    <t>Tally Software Services - Silver Sales</t>
  </si>
  <si>
    <t>SS/PI/0824/25-26</t>
  </si>
  <si>
    <t>H.R.Solar Solution Pvt.Ltd.</t>
  </si>
  <si>
    <t>DST Initiative LLP</t>
  </si>
  <si>
    <t>SS/466/25-26</t>
  </si>
  <si>
    <t>SS/PI/0827/25-26</t>
  </si>
  <si>
    <t>Sircar Security &amp; Allied Services Pvt. Ltd.</t>
  </si>
  <si>
    <t>OUTSTANDING AS ON 4.07.2025</t>
  </si>
  <si>
    <t>cheque ready to be collected next week</t>
  </si>
  <si>
    <t>08.07.2025</t>
  </si>
  <si>
    <t>cancelled</t>
  </si>
  <si>
    <t>remarks</t>
  </si>
  <si>
    <t>Celica Automobiles Private Limited</t>
  </si>
  <si>
    <t>SS/488/25-26</t>
  </si>
  <si>
    <t>NABENDU MANDAL &amp; TANMOY RUIDAS</t>
  </si>
  <si>
    <t>SS/509/25-26</t>
  </si>
  <si>
    <t>SS/511/25-26</t>
  </si>
  <si>
    <t>A-One Polypipes &amp; Fittings (P) Limited</t>
  </si>
  <si>
    <t>remarks 04-07-25</t>
  </si>
  <si>
    <t>remarks 11-07-25</t>
  </si>
  <si>
    <t>Service Charges for Cloud Management-LOCAL</t>
  </si>
  <si>
    <t>SS/531/25-26</t>
  </si>
  <si>
    <t>Nemu Footwear</t>
  </si>
  <si>
    <t>SS/519/25-26</t>
  </si>
  <si>
    <t>SS/525/25-26</t>
  </si>
  <si>
    <t>Cost Allocation Customization</t>
  </si>
  <si>
    <t>Budget Customization</t>
  </si>
  <si>
    <t>Pension Customization</t>
  </si>
  <si>
    <t>Tally Support AMC Fee for HO</t>
  </si>
  <si>
    <t>Cloud Server Sales</t>
  </si>
  <si>
    <t>SARAOGI SHELLAC &amp; AROMATICS PRIVATE LIMITED</t>
  </si>
  <si>
    <t>SS/551/25-26</t>
  </si>
  <si>
    <t>Brijrani Agri Product Private Limited</t>
  </si>
  <si>
    <t>SS/582/25-26</t>
  </si>
  <si>
    <t>Chief Project Director West Bengal Forest and Biodiversity Conservation Project</t>
  </si>
  <si>
    <t>SS/573/25-26</t>
  </si>
  <si>
    <t>SS/583/25-26</t>
  </si>
  <si>
    <t>SS/PI/0869/25-26</t>
  </si>
  <si>
    <t>Essence Transmedia Private Limited</t>
  </si>
  <si>
    <t>Skyline Apartment</t>
  </si>
  <si>
    <t>SS/599/25-26</t>
  </si>
  <si>
    <t>License TallyPrime Silver Sales</t>
  </si>
  <si>
    <t>SS/613/25-26</t>
  </si>
  <si>
    <t>Satyam Balajee Automotives Pvt. Ltd.</t>
  </si>
  <si>
    <t>SS/608/25-26</t>
  </si>
  <si>
    <t>SS/609/25-26</t>
  </si>
  <si>
    <t>Garg &amp; Associates</t>
  </si>
  <si>
    <t>TRIPPLE PI AS ON 07/08/2025</t>
  </si>
  <si>
    <t>ASHIS PAL</t>
  </si>
  <si>
    <t>TOTAL TRIPPLE PI</t>
  </si>
  <si>
    <t>SS/PI/0899/25-26</t>
  </si>
  <si>
    <t>SS/650/25-26</t>
  </si>
  <si>
    <t>Accounts Department Sales</t>
  </si>
  <si>
    <t>SS/696/25-26</t>
  </si>
  <si>
    <t>SS/668/25-26</t>
  </si>
  <si>
    <t>SS/655/25-26</t>
  </si>
  <si>
    <t>SS/658/25-26</t>
  </si>
  <si>
    <t>SS/677/25-26</t>
  </si>
  <si>
    <t>SS/683/25-26</t>
  </si>
  <si>
    <t>Tally Software Services - Auditor Sales</t>
  </si>
  <si>
    <t>Tally Prime TVU Licence Sales</t>
  </si>
  <si>
    <t>SS/689/25-26</t>
  </si>
  <si>
    <t>Instyle Solutions Pvt. Ltd</t>
  </si>
  <si>
    <t>SS/652/25-26</t>
  </si>
  <si>
    <t>Baba Saheb Ambedkar Education University</t>
  </si>
  <si>
    <t>SS/690/25-26</t>
  </si>
  <si>
    <t>SS/660/25-26</t>
  </si>
  <si>
    <t>SS/661/25-26</t>
  </si>
  <si>
    <t>SS/665/25-26</t>
  </si>
  <si>
    <t>SS/680/25-26</t>
  </si>
  <si>
    <t>SS/657/25-26</t>
  </si>
  <si>
    <t>Lodha &amp; Co.</t>
  </si>
  <si>
    <t>RAMAKRISHNA MISSION HOME OF SERVICE</t>
  </si>
  <si>
    <t>SS/671/25-26</t>
  </si>
  <si>
    <t>Smj Eximp Limited</t>
  </si>
  <si>
    <t>SS/672/25-26</t>
  </si>
  <si>
    <t>Gaura Enterprises</t>
  </si>
  <si>
    <t>SS/693/25-26</t>
  </si>
  <si>
    <t>SS/699/25-26</t>
  </si>
  <si>
    <t>Technology Services Fees</t>
  </si>
  <si>
    <t>Proforma Invoive Ageing Report As on:14-08-25 EOD</t>
  </si>
  <si>
    <t>Meridian Compu Services Pvt. Ltd.</t>
  </si>
  <si>
    <t>SS/722/25-26</t>
  </si>
  <si>
    <t>SS/704/25-26</t>
  </si>
  <si>
    <t>Haldia Steels Pvt. Ltd</t>
  </si>
  <si>
    <t>SS/710/25-26</t>
  </si>
  <si>
    <t>SS/715/25-26</t>
  </si>
  <si>
    <t>SS/716/25-26</t>
  </si>
  <si>
    <t>Truckers India</t>
  </si>
  <si>
    <t>SS/725/25-26</t>
  </si>
  <si>
    <t>SS/733/25-26</t>
  </si>
  <si>
    <t>Eccel Recycling Pvt. Ltd.</t>
  </si>
  <si>
    <t>Tally AMC Fee (Projects)</t>
  </si>
  <si>
    <t>SS/724/25-26</t>
  </si>
  <si>
    <t>Meho-HCP Air Systems (P) Ltd.</t>
  </si>
  <si>
    <t>SS/738/25-26</t>
  </si>
  <si>
    <t>Email Services Rediffmail</t>
  </si>
  <si>
    <t>Service Fees</t>
  </si>
  <si>
    <t>Office 365 E-Mail Service (With Team)</t>
  </si>
  <si>
    <t>Bodyline Sports</t>
  </si>
  <si>
    <t>SS/744/25-26</t>
  </si>
  <si>
    <t>SS/PI/0885/25-26</t>
  </si>
  <si>
    <t>SS/754/25-26</t>
  </si>
  <si>
    <t>Visit Fee</t>
  </si>
  <si>
    <t>Samrath Agents Private Limited</t>
  </si>
  <si>
    <t>Tally Software Services - Gold Sales</t>
  </si>
  <si>
    <t>Sankar Swarnakar</t>
  </si>
  <si>
    <t>SS/752/25-26</t>
  </si>
  <si>
    <t>SS/PI/0916/25-26</t>
  </si>
  <si>
    <t>Guwahati Biotech Park</t>
  </si>
  <si>
    <t>SS/PI/0923/25-26</t>
  </si>
  <si>
    <t>M K Shah Exports Ltd</t>
  </si>
  <si>
    <t>SS/PI/0931/25-26</t>
  </si>
  <si>
    <t>SS/782/25-26</t>
  </si>
  <si>
    <t>SS/786/25-26</t>
  </si>
  <si>
    <t>Keertika Academy (P) Limited</t>
  </si>
  <si>
    <t>SS/787/25-26</t>
  </si>
  <si>
    <t>Kamlesh  Maity Sales</t>
  </si>
  <si>
    <t>Hyphen Garments</t>
  </si>
  <si>
    <t>SS/827/25-26</t>
  </si>
  <si>
    <t>SS/797/25-26</t>
  </si>
  <si>
    <t>SS/802/25-26</t>
  </si>
  <si>
    <t>SS/809/25-26</t>
  </si>
  <si>
    <t>SS/812/25-26</t>
  </si>
  <si>
    <t>SS/814/25-26</t>
  </si>
  <si>
    <t>SS/816/25-26</t>
  </si>
  <si>
    <t>SS/818/25-26</t>
  </si>
  <si>
    <t>SS/829/25-26</t>
  </si>
  <si>
    <t>SS/836/25-26</t>
  </si>
  <si>
    <t>SS/848/25-26</t>
  </si>
  <si>
    <t>SS/849/25-26</t>
  </si>
  <si>
    <t>SS/819/25-26</t>
  </si>
  <si>
    <t>SS/822/25-26</t>
  </si>
  <si>
    <t>SS/824/25-26</t>
  </si>
  <si>
    <t>SS/830/25-26</t>
  </si>
  <si>
    <t>SS/841/25-26</t>
  </si>
  <si>
    <t>LSI FINANCIAL SERVICES PVT LTD.</t>
  </si>
  <si>
    <t>SS/815/25-26</t>
  </si>
  <si>
    <t>SS/826/25-26</t>
  </si>
  <si>
    <t>SS/831/25-26</t>
  </si>
  <si>
    <t>Tulja Logistics</t>
  </si>
  <si>
    <t>SS/835/25-26</t>
  </si>
  <si>
    <t>SS/846/25-26</t>
  </si>
  <si>
    <t>SS/847/25-26</t>
  </si>
  <si>
    <t>SS/850/25-26</t>
  </si>
  <si>
    <t>Shraddha &amp; Company</t>
  </si>
  <si>
    <t>SS/856/25-26</t>
  </si>
  <si>
    <t>SS/857/25-26</t>
  </si>
  <si>
    <t>Hi-Tech Systems &amp; Services Limited</t>
  </si>
  <si>
    <t>SS/858/25-26</t>
  </si>
  <si>
    <t>Resolute Valuers &amp; Consultants Private Limited</t>
  </si>
  <si>
    <t>Microsoft Office 365 Business Apps</t>
  </si>
  <si>
    <t>SS/PI/0943/25-26</t>
  </si>
  <si>
    <t>A Unit of Techno India Technologies Limited</t>
  </si>
  <si>
    <t>SS/PI/0945/25-26</t>
  </si>
  <si>
    <t>Tally WhatsApp - New Subscription</t>
  </si>
  <si>
    <t>NIS Management Limited</t>
  </si>
  <si>
    <t>Stores Supply India Agency Private Limited</t>
  </si>
  <si>
    <t>SS/863/25-26</t>
  </si>
  <si>
    <t>SS/868/25-26</t>
  </si>
  <si>
    <t>Navitus Controls and Equipment Pvt Ltd</t>
  </si>
  <si>
    <t>SS/869/25-26</t>
  </si>
  <si>
    <t>SS/870/25-26</t>
  </si>
  <si>
    <t>Fairfest Media Ltd.</t>
  </si>
  <si>
    <t>SS/876/25-26</t>
  </si>
  <si>
    <t>OUTSTANDING AS ON 26.09.2025</t>
  </si>
  <si>
    <t>Evergreen Hosiery Industries Pvt. Ltd.</t>
  </si>
  <si>
    <t>SS/880/25-26</t>
  </si>
  <si>
    <t>Krishna Kunj</t>
  </si>
  <si>
    <t>SS/884/25-26</t>
  </si>
  <si>
    <t>SS/886/25-26</t>
  </si>
  <si>
    <t>SS/887/25-26</t>
  </si>
  <si>
    <t>Onset Exporters Private Limited_x000D_</t>
  </si>
  <si>
    <t>SS/888/25-26</t>
  </si>
  <si>
    <t>SS/877/25-26</t>
  </si>
  <si>
    <t>SS/878/25-26</t>
  </si>
  <si>
    <t>Excela Jute Packaging Pvt. Ltd.</t>
  </si>
  <si>
    <t>Agarwal Logistics Pvt. Ltd.</t>
  </si>
  <si>
    <t>Tally Prime Server</t>
  </si>
  <si>
    <t>Tentative Collection Date</t>
  </si>
  <si>
    <t>KABRA HARDWARE PVT. LTD</t>
  </si>
  <si>
    <t>SS/891/25-26</t>
  </si>
  <si>
    <t>SS/892/25-26</t>
  </si>
  <si>
    <t>SS/894/25-26</t>
  </si>
  <si>
    <t>Tally AMC Fees(Existing)</t>
  </si>
  <si>
    <t>SS/893/25-26</t>
  </si>
  <si>
    <t>Odyssey Distributors Pvt. Ltd.</t>
  </si>
  <si>
    <t>Siddharth Commercial</t>
  </si>
  <si>
    <t>Office 365 Business Standard (Without Team)</t>
  </si>
  <si>
    <t>HOBB International Pvt. Ltd.</t>
  </si>
  <si>
    <t>SS/895/25-26</t>
  </si>
  <si>
    <t>SS/896/25-26</t>
  </si>
  <si>
    <t>OUTSTANDING AS ON 03.10.2025</t>
  </si>
  <si>
    <t>GST IN OUTSTANDING</t>
  </si>
  <si>
    <t>PURCHASE</t>
  </si>
  <si>
    <t>GST ON PURCHASE</t>
  </si>
  <si>
    <t>Differencial GST</t>
  </si>
  <si>
    <t>BANGABHUMI FARMERS PRODUCER COMPANY LIMITED</t>
  </si>
  <si>
    <t>SS/897/25-26</t>
  </si>
  <si>
    <t>Dilip Chakraborty</t>
  </si>
  <si>
    <t>SS/898/25-26</t>
  </si>
  <si>
    <t>SS/899/25-26</t>
  </si>
  <si>
    <t>SS/900/25-26</t>
  </si>
  <si>
    <t>Accounting Services(Imran Placement)</t>
  </si>
  <si>
    <t>SS/901/25-26</t>
  </si>
  <si>
    <t>SS/PI/0967/25-26</t>
  </si>
  <si>
    <t>SHREE BALAJI</t>
  </si>
  <si>
    <t>Toshee Industries Pvt. Ltd.</t>
  </si>
  <si>
    <t>SS/903/25-26</t>
  </si>
  <si>
    <t>Tally Biz Analyst App. (Tally On Mobile)</t>
  </si>
  <si>
    <t>Finorchem Limited</t>
  </si>
  <si>
    <t>SS/904/25-26</t>
  </si>
  <si>
    <t>Power BI Pro</t>
  </si>
  <si>
    <t>Rahul Tibrewal</t>
  </si>
  <si>
    <t>SS/905/25-26</t>
  </si>
  <si>
    <t>Sachin Pilania</t>
  </si>
  <si>
    <t>SS/906/25-26</t>
  </si>
  <si>
    <t>SS/907/25-26</t>
  </si>
  <si>
    <t>Indipath Diagnostic</t>
  </si>
  <si>
    <t>Shree</t>
  </si>
  <si>
    <t>Maruti Tea And Industries Pvt. Ltd.</t>
  </si>
  <si>
    <t>Shree Mahavir Agency</t>
  </si>
  <si>
    <t>SS/908/25-26</t>
  </si>
  <si>
    <t>SS/909/25-26</t>
  </si>
  <si>
    <t>SS/902/25-26</t>
  </si>
  <si>
    <t>Serviiion Enterprises Pvt Ltd</t>
  </si>
  <si>
    <t>SS/910/25-26</t>
  </si>
  <si>
    <t>R</t>
  </si>
  <si>
    <t>PINNACLE  KYOSEI  GLOBAL ENGINEERS PRIVATE LIMITED</t>
  </si>
  <si>
    <t>SS/911/25-26</t>
  </si>
  <si>
    <t>SS/912/25-26</t>
  </si>
  <si>
    <t>SS/914/25-26</t>
  </si>
  <si>
    <t>SS/915/25-26</t>
  </si>
  <si>
    <t>SS/913/25-26</t>
  </si>
  <si>
    <t>SS/917/25-26</t>
  </si>
  <si>
    <t>MAA SHITALA MULTIPURPOSE COLD STORAGE</t>
  </si>
  <si>
    <t>SS/916/25-26</t>
  </si>
  <si>
    <t>Excel Packaging Incorporated</t>
  </si>
  <si>
    <t>SS/918/25-26</t>
  </si>
  <si>
    <t>SS/919/25-26</t>
  </si>
  <si>
    <t>Vishwakarma Logistics</t>
  </si>
  <si>
    <t>SS/921/25-26</t>
  </si>
  <si>
    <t>SS/922/25-26</t>
  </si>
  <si>
    <t>SS/923/25-26</t>
  </si>
  <si>
    <t>SS/924/25-26</t>
  </si>
  <si>
    <t>SS/925/25-26</t>
  </si>
  <si>
    <t>SS/926/25-26</t>
  </si>
  <si>
    <t>SS/927/25-26</t>
  </si>
  <si>
    <t>SS/929/25-26</t>
  </si>
  <si>
    <t>SS/928/25-26</t>
  </si>
  <si>
    <t>SS/920/25-26</t>
  </si>
  <si>
    <t>Paul Engineering Works</t>
  </si>
  <si>
    <t>SS/930/25-26</t>
  </si>
  <si>
    <t>SS/931/25-26</t>
  </si>
  <si>
    <t>SS/932/25-26</t>
  </si>
  <si>
    <t>Adjustments</t>
  </si>
  <si>
    <t>SS/933/25-26</t>
  </si>
  <si>
    <t>Prinsep Association of Apartment Owners</t>
  </si>
  <si>
    <t>SS/PI/0999/25-26</t>
  </si>
  <si>
    <t>Tanmoy Ruidas Sales</t>
  </si>
  <si>
    <t>SS/950/25-26</t>
  </si>
  <si>
    <t>SS/958/25-26</t>
  </si>
  <si>
    <t>SS/962/25-26</t>
  </si>
  <si>
    <t>SS/968/25-26</t>
  </si>
  <si>
    <t>SS/972/25-26</t>
  </si>
  <si>
    <t>BTL EPC LTD.</t>
  </si>
  <si>
    <t>SS/973/25-26</t>
  </si>
  <si>
    <t>Squaremark Infra Contractors Private Limited</t>
  </si>
  <si>
    <t>SS/994/25-26</t>
  </si>
  <si>
    <t>Howrah Textile Udyog</t>
  </si>
  <si>
    <t>SS/PI/1028/25-26</t>
  </si>
  <si>
    <t>SS/PI/1033/25-26</t>
  </si>
  <si>
    <t>Swarnanjali</t>
  </si>
  <si>
    <t>SS/1034/25-26</t>
  </si>
  <si>
    <t>S.K Nasiruddin Biri Merchant Private Limited(meta)</t>
  </si>
  <si>
    <t>SS/PI/1037/25-26</t>
  </si>
  <si>
    <t>SS/1057/25-26</t>
  </si>
  <si>
    <t>Agent Name</t>
  </si>
  <si>
    <t>Due Date</t>
  </si>
  <si>
    <t>SS/1076/25-26</t>
  </si>
  <si>
    <t>Techspro Consultancy Services</t>
  </si>
  <si>
    <t>Skyline Contractors Llp</t>
  </si>
  <si>
    <t>SS/PI/1050/25-26</t>
  </si>
  <si>
    <t>SS/PI/1052/25-26</t>
  </si>
  <si>
    <t>H.A.G. Carpets Pvt. Ltd</t>
  </si>
  <si>
    <t>SS/1104/25-26</t>
  </si>
  <si>
    <t>SS/1103/25-26</t>
  </si>
  <si>
    <t>SS/1130/25-26</t>
  </si>
  <si>
    <t>SS/1115/25-26</t>
  </si>
  <si>
    <t>SS/1123/25-26</t>
  </si>
  <si>
    <t>STEEL &amp; METALS</t>
  </si>
  <si>
    <t>SS/1117/25-26</t>
  </si>
  <si>
    <t>SS/1119/25-26</t>
  </si>
  <si>
    <t>SS/1113/25-26</t>
  </si>
  <si>
    <t>SS/1121/25-26</t>
  </si>
  <si>
    <t>SS/1124/25-26</t>
  </si>
  <si>
    <t>SS/1125/25-26</t>
  </si>
  <si>
    <t>Electro Zavod(India) Private Limited</t>
  </si>
  <si>
    <t>SS/1151/25-26</t>
  </si>
  <si>
    <t>SS/1154/25-26</t>
  </si>
  <si>
    <t>SS/1156/25-26</t>
  </si>
  <si>
    <t>S.K Nasiruddin Biri Merchant Private Limited(GLOBAL)</t>
  </si>
  <si>
    <t>SS/1163/25-26</t>
  </si>
  <si>
    <t>SS/1168/25-26</t>
  </si>
  <si>
    <t>West Bengal Board of Madrasah Education</t>
  </si>
  <si>
    <t>SS/PI/1072/25-26</t>
  </si>
  <si>
    <t>Sakambari  Creation</t>
  </si>
  <si>
    <t>SS/PI/1079/25-26</t>
  </si>
  <si>
    <t>Computer Zone</t>
  </si>
  <si>
    <t>SS/PI/1082/25-26</t>
  </si>
  <si>
    <t>SS/1177/25-26</t>
  </si>
  <si>
    <t>SS/1204/25-26</t>
  </si>
  <si>
    <t>M/s. Industrial Associates.</t>
  </si>
  <si>
    <t>Softech ERP Solutions Pvt Ltd</t>
  </si>
  <si>
    <t>SS/1217/25-26</t>
  </si>
  <si>
    <t>SS/1218/25-26</t>
  </si>
  <si>
    <t>West Bengal Board of Secondary Education</t>
  </si>
  <si>
    <t>TALLY PRIME GOLD,SERVER,IMPLEMENTATION,CUSTOMISATION</t>
  </si>
  <si>
    <t>SS/1229/25-26</t>
  </si>
  <si>
    <t>SS/1234/25-26</t>
  </si>
  <si>
    <t>Satyacorp Foods Private Limited</t>
  </si>
  <si>
    <t>SS/1236/25-26</t>
  </si>
  <si>
    <t>SS/PI/1095/25-26</t>
  </si>
  <si>
    <t>Rishav Health Care</t>
  </si>
  <si>
    <t>SS/1237/25-26</t>
  </si>
  <si>
    <t>SS/1238/25-26</t>
  </si>
  <si>
    <t>SS/1239/25-26</t>
  </si>
  <si>
    <t>SS/PI/1099/25-26</t>
  </si>
  <si>
    <t>SS/1248/25-26</t>
  </si>
  <si>
    <t>SS/1249/25-26</t>
  </si>
  <si>
    <t>Easy Note Stationery Pvt.Ltd.</t>
  </si>
  <si>
    <t>SS/1261/25-26</t>
  </si>
  <si>
    <t>THE W.B STATE HANDICRAFTS CO.-OP SOCIETY LTD</t>
  </si>
  <si>
    <t>SS/1270/25-26</t>
  </si>
  <si>
    <t>SS/1279/25-26</t>
  </si>
  <si>
    <t>SS/1258/25-26</t>
  </si>
  <si>
    <t>Minova Minetek Pvt. Limited</t>
  </si>
  <si>
    <t>SS/1272/25-26</t>
  </si>
  <si>
    <t>SS/1276/25-26</t>
  </si>
  <si>
    <t>SS/1262/25-26</t>
  </si>
  <si>
    <t>SS/1264/25-26</t>
  </si>
  <si>
    <t>Cloud Manage Services</t>
  </si>
  <si>
    <t>SS/1260/25-26</t>
  </si>
  <si>
    <t>SS/1263/25-26</t>
  </si>
  <si>
    <t>S.K Nasiruddin Biri Merchant Private Limited-meta</t>
  </si>
  <si>
    <t>SS/1265/25-26</t>
  </si>
  <si>
    <t>SS/1273/25-26</t>
  </si>
  <si>
    <t>SS/1274/25-26</t>
  </si>
  <si>
    <t>Kothari Medical Centre</t>
  </si>
  <si>
    <t>Microsoft Corporation (India) Private Limited Dr.</t>
  </si>
  <si>
    <t>Microsoft Incentive Fees</t>
  </si>
  <si>
    <t>SS/1284/25-26</t>
  </si>
  <si>
    <t>West Bengal Forest Development Corporation Ltd.</t>
  </si>
  <si>
    <t>SS/1289/25-26</t>
  </si>
  <si>
    <t>SS/1292/25-26</t>
  </si>
  <si>
    <t>GST on Outstanding</t>
  </si>
  <si>
    <t>purchase cost</t>
  </si>
  <si>
    <t>Gst on purchase</t>
  </si>
  <si>
    <t>GST of Nov 2025 pending</t>
  </si>
  <si>
    <t>SS/1296/25-26</t>
  </si>
  <si>
    <t>SS/1307/25-26</t>
  </si>
  <si>
    <t>SS/1306/25-26</t>
  </si>
  <si>
    <t>Tushar Dalmia</t>
  </si>
  <si>
    <t>Cemtech Engineering Pvt Ltd</t>
  </si>
  <si>
    <t>SS/1315/25-26</t>
  </si>
  <si>
    <t>Upgradation Tally ERP 9 Silver to Gold Sales</t>
  </si>
  <si>
    <t>SS/1312/25-26</t>
  </si>
  <si>
    <t>Infinite Industries Private Limited</t>
  </si>
  <si>
    <t>SS/PI/1108/25-26</t>
  </si>
  <si>
    <t>TallyPrime Silver to TallyPrime Gold</t>
  </si>
  <si>
    <t>SS/PI/1110/25-26</t>
  </si>
  <si>
    <t>Puja Plastic Works</t>
  </si>
  <si>
    <t>SS/1317/25-26</t>
  </si>
  <si>
    <t>SS/1318/25-26</t>
  </si>
  <si>
    <t>SS/1324/25-26</t>
  </si>
  <si>
    <t>Lee &amp; Nee Softwares Exports Ltd.</t>
  </si>
  <si>
    <t>SS/1332/25-26</t>
  </si>
  <si>
    <t>SS/1336/25-26</t>
  </si>
  <si>
    <t>SS/1346/25-26</t>
  </si>
  <si>
    <t>S A Jewellers</t>
  </si>
  <si>
    <t>SS/1345/25-26</t>
  </si>
  <si>
    <t>Samriddhi Investment Services Private Limited</t>
  </si>
  <si>
    <t>SS/1335/25-26</t>
  </si>
  <si>
    <t>SS/PI/1115/25-26</t>
  </si>
  <si>
    <t>Eagle Consumer Products Pvt Ltd</t>
  </si>
  <si>
    <t>Brancon Communication LLP</t>
  </si>
  <si>
    <t>SS/1347/25-26</t>
  </si>
  <si>
    <t>Proventus Consulting Pvt. Ltd.</t>
  </si>
  <si>
    <t>SS/1348/25-26</t>
  </si>
  <si>
    <t>Young India Fashions</t>
  </si>
  <si>
    <t>SS/1359/25-26</t>
  </si>
  <si>
    <t>Avik Banerjee Sales</t>
  </si>
  <si>
    <t>SS/1352/25-26</t>
  </si>
  <si>
    <t>Shivank Chhaparia &amp; Co. Chartered Accountants</t>
  </si>
  <si>
    <t>SS/1351/25-26</t>
  </si>
  <si>
    <t>SS/1355/25-26</t>
  </si>
  <si>
    <t>SS/1361/25-26</t>
  </si>
  <si>
    <t>SS/1363/25-26</t>
  </si>
  <si>
    <t>SS/1364/25-26</t>
  </si>
  <si>
    <t>SS/1399/25-26</t>
  </si>
  <si>
    <t>SS/1369/25-26</t>
  </si>
  <si>
    <t>SS/1370/25-26</t>
  </si>
  <si>
    <t>SS/1391/25-26</t>
  </si>
  <si>
    <t>SS/1400/25-26</t>
  </si>
  <si>
    <t>M/S Globex</t>
  </si>
  <si>
    <t>SS/1367/25-26</t>
  </si>
  <si>
    <t>Mahabir Traders Dr.</t>
  </si>
  <si>
    <t>SS/1368/25-26</t>
  </si>
  <si>
    <t>Carbon Resources (P) Ltd.</t>
  </si>
  <si>
    <t>SS/1373/25-26</t>
  </si>
  <si>
    <t>SS/1374/25-26</t>
  </si>
  <si>
    <t>SS/1375/25-26</t>
  </si>
  <si>
    <t>SS/1376/25-26</t>
  </si>
  <si>
    <t>SS/1379/25-26</t>
  </si>
  <si>
    <t>SS/1380/25-26</t>
  </si>
  <si>
    <t>SS/1381/25-26</t>
  </si>
  <si>
    <t>SS/1382/25-26</t>
  </si>
  <si>
    <t>SS/1383/25-26</t>
  </si>
  <si>
    <t>SS/1393/25-26</t>
  </si>
  <si>
    <t>Victor Moses &amp; Co</t>
  </si>
  <si>
    <t>SS/1403/25-26</t>
  </si>
  <si>
    <t>Arunava Banik</t>
  </si>
  <si>
    <t>SS/1372/25-26</t>
  </si>
  <si>
    <t>SS/1397/25-26</t>
  </si>
  <si>
    <t>SS/1371/25-26</t>
  </si>
  <si>
    <t>SS/1385/25-26</t>
  </si>
  <si>
    <t>SS/1388/25-26</t>
  </si>
  <si>
    <t>SS/1401/25-26</t>
  </si>
  <si>
    <t>SS/1402/25-26</t>
  </si>
  <si>
    <t>SS/1378/25-26</t>
  </si>
  <si>
    <t>SS/1384/25-26</t>
  </si>
  <si>
    <t>SS/1386/25-26</t>
  </si>
  <si>
    <t>SS/1387/25-26</t>
  </si>
  <si>
    <t>SS/1390/25-26</t>
  </si>
  <si>
    <t>SAFRROYS MACHINES PVT. LTD.</t>
  </si>
  <si>
    <t>SS/1392/25-26</t>
  </si>
  <si>
    <t>SS/1394/25-26</t>
  </si>
  <si>
    <t>SS/1395/25-26</t>
  </si>
  <si>
    <t>SS/1396/25-26</t>
  </si>
  <si>
    <t>SS/1398/25-26</t>
  </si>
  <si>
    <t>SS/PI/1119/25-26</t>
  </si>
  <si>
    <t>Tally Implementation, customisation, AMC,Training</t>
  </si>
  <si>
    <t>Cl.OUTSTANDING AS ON 17.01.2026</t>
  </si>
  <si>
    <t>Cl.OUTSTANDING AS ON 23.01.2026</t>
  </si>
  <si>
    <t>SS/1406/25-26</t>
  </si>
  <si>
    <t>S M Daga &amp; Co.</t>
  </si>
  <si>
    <t>SS/1413/25-26</t>
  </si>
  <si>
    <t>Mahua Bhattacharyya-Sales</t>
  </si>
  <si>
    <t>SS/1404/25-26</t>
  </si>
  <si>
    <t>SS/1405/25-26</t>
  </si>
  <si>
    <t>SS/1414/25-26</t>
  </si>
  <si>
    <t>SS/1411/25-26</t>
  </si>
  <si>
    <t>SS/1409/25-26</t>
  </si>
  <si>
    <t>SS/1412/25-26</t>
  </si>
  <si>
    <t>Ayush Fintrex Pvt Ltd</t>
  </si>
  <si>
    <t>SS/1407/25-26</t>
  </si>
  <si>
    <t>Calcutta Export Company</t>
  </si>
  <si>
    <t>SS/1408/25-26</t>
  </si>
  <si>
    <t>SS/1410/25-26</t>
  </si>
  <si>
    <t>RNS Kasba Branch</t>
  </si>
  <si>
    <t>SS/1415/25-26</t>
  </si>
  <si>
    <t>Saraogi Shellac and Aromatics</t>
  </si>
  <si>
    <t>Eastern Commercial Corporation</t>
  </si>
  <si>
    <t>SS/1425/25-26</t>
  </si>
  <si>
    <t>SS/1427/25-26</t>
  </si>
  <si>
    <t>SS/PI/1121/25-26</t>
  </si>
  <si>
    <t>R.S Associates</t>
  </si>
  <si>
    <t>SS/PI/1123/25-26</t>
  </si>
  <si>
    <t>P. K. Bhattacharyya &amp; Associates</t>
  </si>
  <si>
    <t>SS/1443/25-26</t>
  </si>
  <si>
    <t>Butterfly Bio &amp; Art Llp</t>
  </si>
  <si>
    <t>SS/1442/25-26</t>
  </si>
  <si>
    <t>MS Exchange Online Plan 2 Sales</t>
  </si>
  <si>
    <t>SS/1461/25-26</t>
  </si>
  <si>
    <t>SS/1462/25-26</t>
  </si>
  <si>
    <t>SS/1463/25-26</t>
  </si>
  <si>
    <t>SS/1464/25-26</t>
  </si>
  <si>
    <t>SS/1460/25-26</t>
  </si>
  <si>
    <t>SS/PI/1132/25-26</t>
  </si>
  <si>
    <t>SS/PI/1126/25-26</t>
  </si>
  <si>
    <t>Cool Comfort Private Limited</t>
  </si>
  <si>
    <t>SS/PI/1127/25-26</t>
  </si>
  <si>
    <t>SS/PI/1128/25-26</t>
  </si>
  <si>
    <t>Sanskriti Wave Power</t>
  </si>
  <si>
    <t>SS/AD/002/25-26</t>
  </si>
  <si>
    <t>SS/AD/0005/25-26</t>
  </si>
  <si>
    <t>SS/1471/25-26</t>
  </si>
  <si>
    <t>Indian Refrigeration Stores</t>
  </si>
  <si>
    <t>SS/1472/25-26</t>
  </si>
  <si>
    <t>Tally Software Services -Gold Sales</t>
  </si>
  <si>
    <t>Om Wire &amp; Wire Products Industries</t>
  </si>
  <si>
    <t>SS/1473/25-26</t>
  </si>
  <si>
    <t>St. Xavier's Collegiate School</t>
  </si>
  <si>
    <t>SS/1476/25-26</t>
  </si>
  <si>
    <t>SS/PI/1136/25-26</t>
  </si>
  <si>
    <t>Centreax Technologies(Prop Smita Chatterji)</t>
  </si>
  <si>
    <t>SS/PI/1137/25-26</t>
  </si>
  <si>
    <t>GUPTA TEA PVT. LIMITED</t>
  </si>
  <si>
    <t>SS/PI/1140/25-26</t>
  </si>
  <si>
    <t>Madhuri Pharmacy</t>
  </si>
  <si>
    <t>Vishal Profin Pvt Ltd.</t>
  </si>
  <si>
    <t>SS/1485/25-26</t>
  </si>
  <si>
    <t xml:space="preserve">Google Workspace Google Business </t>
  </si>
  <si>
    <t>Supreme Paper Mills Limited</t>
  </si>
  <si>
    <t>Advani Pvt.Ltd.</t>
  </si>
  <si>
    <t>SS/1489/25-26</t>
  </si>
  <si>
    <t>SS/1495/25-26</t>
  </si>
  <si>
    <t>SS/1505/25-26</t>
  </si>
  <si>
    <t>SS/1506/25-26</t>
  </si>
  <si>
    <t>SS/1510/25-26</t>
  </si>
  <si>
    <t>SS/1513/25-26</t>
  </si>
  <si>
    <t>SS/1504/25-26</t>
  </si>
  <si>
    <t>SS/1496/25-26</t>
  </si>
  <si>
    <t>SS/1498/25-26</t>
  </si>
  <si>
    <t>SS/1501/25-26</t>
  </si>
  <si>
    <t>SS/1515/25-26</t>
  </si>
  <si>
    <t>SS/1492/25-26</t>
  </si>
  <si>
    <t>SS/1508/25-26</t>
  </si>
  <si>
    <t>SS/1509/25-26</t>
  </si>
  <si>
    <t>Tempcon</t>
  </si>
  <si>
    <t>SS/1523/25-26</t>
  </si>
  <si>
    <t>SS/PI/1149/25-26</t>
  </si>
  <si>
    <t>Tally Software Services- Auditor</t>
  </si>
  <si>
    <t>SS/1530/25-26</t>
  </si>
  <si>
    <t>SS/1527/25-26</t>
  </si>
  <si>
    <t>SS/1528/25-26</t>
  </si>
  <si>
    <t>SS/PI/1153/25-26</t>
  </si>
  <si>
    <t>COTTON CASUALS (INDIA) PVT. LTD</t>
  </si>
  <si>
    <t>SS/PI/1154/25-26</t>
  </si>
  <si>
    <t>SS/1540/25-26</t>
  </si>
  <si>
    <t>SS/PI/1155/25-26</t>
  </si>
  <si>
    <t>Office 365 E-Mail Service</t>
  </si>
  <si>
    <t>SS/1543/25-26</t>
  </si>
  <si>
    <t>M/S PGA Law Offices</t>
  </si>
  <si>
    <t>SS/1544/25-26</t>
  </si>
  <si>
    <t>SS/1547/25-26</t>
  </si>
  <si>
    <t>SS/1550/25-26</t>
  </si>
  <si>
    <t>LMG Hydro Pneumatic</t>
  </si>
  <si>
    <t>SS/1556/25-26</t>
  </si>
  <si>
    <t>SS/1560/25-26</t>
  </si>
  <si>
    <t>SS/1569/25-26</t>
  </si>
  <si>
    <t>SS/1559/25-26</t>
  </si>
  <si>
    <t>SS/1566/25-26</t>
  </si>
  <si>
    <t>SS/1570/25-26</t>
  </si>
  <si>
    <t>SS/1549/25-26</t>
  </si>
  <si>
    <t>SS/1554/25-26</t>
  </si>
  <si>
    <t>SS/1592/25-26</t>
  </si>
  <si>
    <t>Nice Enterprise</t>
  </si>
  <si>
    <t>SS/1604/25-26</t>
  </si>
  <si>
    <t>SS/1594/25-26</t>
  </si>
  <si>
    <t>Impart Solutions</t>
  </si>
  <si>
    <t>SS/1600/25-26</t>
  </si>
  <si>
    <t>SS/1601/25-26</t>
  </si>
  <si>
    <t>SS/PI/1160/25-26</t>
  </si>
  <si>
    <t>Audiovision</t>
  </si>
  <si>
    <t>SS/PI/1161/25-26</t>
  </si>
  <si>
    <t>TallyPrime with WhatsApp</t>
  </si>
  <si>
    <t>SS/PI/1163/25-26</t>
  </si>
  <si>
    <t>The Regional PF Commissioner(OIC)</t>
  </si>
  <si>
    <t>Google Workspace Business Standard Plan</t>
  </si>
  <si>
    <t>SS/1617/25-26</t>
  </si>
  <si>
    <t>Domain Sales</t>
  </si>
  <si>
    <t>SS/1627/25-26</t>
  </si>
  <si>
    <t>SS/1628/25-26</t>
  </si>
  <si>
    <t>Dharmesh Duggar</t>
  </si>
  <si>
    <t>SS/1611/25-26</t>
  </si>
  <si>
    <t>SS/1620/25-26</t>
  </si>
  <si>
    <t>SS/1624/25-26</t>
  </si>
  <si>
    <t>SS/1616/25-26</t>
  </si>
  <si>
    <t>Nehru Memorial Techno Global Hospital</t>
  </si>
  <si>
    <t>SS/PI/1165/25-26</t>
  </si>
  <si>
    <t>Office 365 E-Mail Service (With Team &amp; without team)</t>
  </si>
  <si>
    <t>SS/PI/1166/25-26</t>
  </si>
  <si>
    <t>Rotary Techno Netralaya (A Unit of Techno India Technologies Limited)</t>
  </si>
  <si>
    <t>Sri Ram Narayan Singh Memorial High School</t>
  </si>
  <si>
    <t>SS/PI/1167/25-26</t>
  </si>
  <si>
    <t>SS/PI/1168/25-26</t>
  </si>
  <si>
    <t>Techno India Technologies Ltd.,</t>
  </si>
  <si>
    <t>SS/PI/1169/25-26</t>
  </si>
  <si>
    <t>Salasar Agro Udyog</t>
  </si>
  <si>
    <t>SS/PI/1171/25-26</t>
  </si>
  <si>
    <t>SS/PI/1172/25-26</t>
  </si>
  <si>
    <t>Seagull Books Pvt. Ltd.</t>
  </si>
  <si>
    <t>OP.OUTSTANDING AS ON 14.03.2026</t>
  </si>
  <si>
    <t>Radha Kissen Kanoria Charitable Trust</t>
  </si>
  <si>
    <t>SS/1632/25-26</t>
  </si>
  <si>
    <t>Microsoft Azure</t>
  </si>
  <si>
    <t>SS/PI/1173/25-26</t>
  </si>
  <si>
    <t>Prime Infoserv LLP</t>
  </si>
  <si>
    <t>Flexi Seating Systems Pvt Ltd.</t>
  </si>
  <si>
    <t>SS/PI/1174/25-26</t>
  </si>
  <si>
    <t>SS/PI/1175/25-26</t>
  </si>
  <si>
    <t>Banik Ply</t>
  </si>
  <si>
    <t>SS/PI/1176/25-26</t>
  </si>
  <si>
    <t>GGC Industries Private Limited</t>
  </si>
  <si>
    <t>LSI FINANCIAL SERVICES PVT LTD</t>
  </si>
  <si>
    <t>Science First.Com</t>
  </si>
  <si>
    <t>SS/1636/25-26</t>
  </si>
  <si>
    <t>Abhrajit Mitra</t>
  </si>
  <si>
    <t>SS/1637/25-26</t>
  </si>
  <si>
    <t>CANDID CASUALS (INDIA) PVT. LTD</t>
  </si>
  <si>
    <t>SS/1638/25-26</t>
  </si>
  <si>
    <t>SS/PI/1177/25-26</t>
  </si>
  <si>
    <t>L D MAJHI</t>
  </si>
  <si>
    <t>SS/1642/25-26</t>
  </si>
  <si>
    <t>SS/1648/25-26</t>
  </si>
  <si>
    <t>SS/1650/25-26</t>
  </si>
  <si>
    <t>SS/1653/25-26</t>
  </si>
  <si>
    <t>SS/1657/25-26</t>
  </si>
  <si>
    <t>SS/1658/25-26</t>
  </si>
  <si>
    <t>SS/1661/25-26</t>
  </si>
  <si>
    <t>SS/1662/25-26</t>
  </si>
  <si>
    <t>Infosystem (Prop Kundan Kumar Srivastava)</t>
  </si>
  <si>
    <t>SS/1641/25-26</t>
  </si>
  <si>
    <t>SS/1646/25-26</t>
  </si>
  <si>
    <t>SS/1651/25-26</t>
  </si>
  <si>
    <t>SS/1654/25-26</t>
  </si>
  <si>
    <t>SS/1643/25-26</t>
  </si>
  <si>
    <t>SS/1645/25-26</t>
  </si>
  <si>
    <t>SS/1656/25-26</t>
  </si>
  <si>
    <t>SS/1640/25-26</t>
  </si>
  <si>
    <t>SS/1644/25-26</t>
  </si>
  <si>
    <t>SS/1647/25-26</t>
  </si>
  <si>
    <t>SS/1649/25-26</t>
  </si>
  <si>
    <t>SS/1655/25-26</t>
  </si>
  <si>
    <t>Anil Gadia</t>
  </si>
  <si>
    <t>SS/1659/25-26</t>
  </si>
  <si>
    <t>SS/1663/25-26</t>
  </si>
  <si>
    <t>Cl.OUTSTANDING AS ON 20.03.2026</t>
  </si>
  <si>
    <t>SS/1665/25-26</t>
  </si>
  <si>
    <t>SS/1669/25-26</t>
  </si>
  <si>
    <t>SS/1679/25-26</t>
  </si>
  <si>
    <t>SS/1667/25-26</t>
  </si>
  <si>
    <t>SS/1675/25-26</t>
  </si>
  <si>
    <t>SS/1676/25-26</t>
  </si>
  <si>
    <t>Opto Marketing Co. Pvt. Ltd.</t>
  </si>
  <si>
    <t>SS/1677/25-26</t>
  </si>
  <si>
    <t>SS/1680/25-26</t>
  </si>
  <si>
    <t>SS/1681/25-26</t>
  </si>
  <si>
    <t>Soni Consultancy</t>
  </si>
  <si>
    <t>SS/1683/25-26</t>
  </si>
  <si>
    <t>SS/1668/25-26</t>
  </si>
  <si>
    <t>SS/1674/25-26</t>
  </si>
  <si>
    <t>SS/1671/25-26</t>
  </si>
  <si>
    <t>Redington (India) Limited (G5)</t>
  </si>
  <si>
    <t>AMMP Incentive</t>
  </si>
  <si>
    <t>SS/1664/25-26</t>
  </si>
  <si>
    <t>SS/1670/25-26</t>
  </si>
  <si>
    <t>SS/1672/25-26</t>
  </si>
  <si>
    <t>SS/1673/25-26</t>
  </si>
  <si>
    <t>SS/1678/25-26</t>
  </si>
  <si>
    <t>SS/1682/25-26</t>
  </si>
  <si>
    <t>Training Fees</t>
  </si>
  <si>
    <t>SS/1714/25-26</t>
  </si>
  <si>
    <t>SS/1697/25-26</t>
  </si>
  <si>
    <t>SS/1685/25-26</t>
  </si>
  <si>
    <t>SS/1686/25-26</t>
  </si>
  <si>
    <t>SS/1688/25-26</t>
  </si>
  <si>
    <t>IDIBIM CONSULTANT PVT LTD.</t>
  </si>
  <si>
    <t>SS/1691/25-26</t>
  </si>
  <si>
    <t>D.R. Creation</t>
  </si>
  <si>
    <t>SS/1692/25-26</t>
  </si>
  <si>
    <t>SS/1695/25-26</t>
  </si>
  <si>
    <t>SS/1696/25-26</t>
  </si>
  <si>
    <t>SS/1700/25-26</t>
  </si>
  <si>
    <t>SS/1701/25-26</t>
  </si>
  <si>
    <t>R C Jhawer &amp; Co</t>
  </si>
  <si>
    <t>SS/1702/25-26</t>
  </si>
  <si>
    <t>SS/1703/25-26</t>
  </si>
  <si>
    <t>Singh Security &amp; Detective Services</t>
  </si>
  <si>
    <t>SS/1704/25-26</t>
  </si>
  <si>
    <t>SS/1705/25-26</t>
  </si>
  <si>
    <t>Urban Oil &amp; Energy Pvt Ltd</t>
  </si>
  <si>
    <t>SS/1706/25-26</t>
  </si>
  <si>
    <t>S.D.Engineering Works</t>
  </si>
  <si>
    <t>SS/1707/25-26</t>
  </si>
  <si>
    <t>CITY SECURITY RECRUIT SERVICES PRIVATE LIMITED</t>
  </si>
  <si>
    <t>SS/1708/25-26</t>
  </si>
  <si>
    <t>SS/1709/25-26</t>
  </si>
  <si>
    <t>Damani Udyog</t>
  </si>
  <si>
    <t>SS/1710/25-26</t>
  </si>
  <si>
    <t>Florasia International Pvt. Ltd.</t>
  </si>
  <si>
    <t>SS/1711/25-26</t>
  </si>
  <si>
    <t>S.D. Enterprise</t>
  </si>
  <si>
    <t>SS/1712/25-26</t>
  </si>
  <si>
    <t>Cyrus Automation India Limited</t>
  </si>
  <si>
    <t>SS/1716/25-26</t>
  </si>
  <si>
    <t>Vikrant Agro Industries</t>
  </si>
  <si>
    <t>SS/1717/25-26</t>
  </si>
  <si>
    <t>S.S.Industrial Alloys</t>
  </si>
  <si>
    <t>SS/1684/25-26</t>
  </si>
  <si>
    <t>Tally Prime Gold</t>
  </si>
  <si>
    <t>SS/1690/25-26</t>
  </si>
  <si>
    <t>SS/1694/25-26</t>
  </si>
  <si>
    <t>SS/1699/25-26</t>
  </si>
  <si>
    <t>SS/1689/25-26</t>
  </si>
  <si>
    <t>SS/1713/25-26</t>
  </si>
  <si>
    <t>SS/1715/25-26</t>
  </si>
  <si>
    <t>SS/1687/25-26</t>
  </si>
  <si>
    <t>Adansa Solutions Private Limited</t>
  </si>
  <si>
    <t>SS/1693/25-26</t>
  </si>
  <si>
    <t>Braganza &amp; Co.</t>
  </si>
  <si>
    <t>SS/1698/25-26</t>
  </si>
  <si>
    <t>SS/1718/25-26</t>
  </si>
  <si>
    <t>Universal Sales &amp; Projects</t>
  </si>
  <si>
    <t>SS/PI/1180/25-26</t>
  </si>
  <si>
    <t>SS/PI/1181/25-26</t>
  </si>
  <si>
    <t>CCAD MULTISERVICES PVT LTD</t>
  </si>
  <si>
    <t>SS/PI/1185/25-26</t>
  </si>
  <si>
    <t>UV International</t>
  </si>
  <si>
    <t>SS/PI/1186/25-26</t>
  </si>
  <si>
    <t>Siddhant Enterprises</t>
  </si>
  <si>
    <t>SS/PI/1187/25-26</t>
  </si>
  <si>
    <t>ASCO STRUMECH PVT. LTD</t>
  </si>
  <si>
    <t>SS/PI/1188/25-26</t>
  </si>
  <si>
    <t>SS/PI/1189/25-26</t>
  </si>
  <si>
    <t>SS/PI/1190/25-26</t>
  </si>
  <si>
    <t>D.V Ferro Alloys Pvt. Ltd.</t>
  </si>
  <si>
    <t>SS/PI/1191/25-26</t>
  </si>
  <si>
    <t>SS/PI/1192/25-26</t>
  </si>
  <si>
    <t>Corrent Date</t>
  </si>
  <si>
    <t>Remarks</t>
  </si>
  <si>
    <t>OP.OUTSTANDING AS ON 20.03.2026</t>
  </si>
  <si>
    <t>Cl.OUTSTANDING AS ON 27.03.2026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</si>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</sst>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 * #,##0.00_ ;_ * \-#,##0.00_ ;_ * &quot;-&quot;??_ ;_ @_ "/>
    <numFmt numFmtId="164" formatCode="dd\-mm\-yyyy"/>
    <numFmt numFmtId="165" formatCode="&quot;&quot;0.00"/>
    <numFmt numFmtId="166" formatCode="&quot;&quot;0"/>
    <numFmt numFmtId="167" formatCode="#,##0.00_ ;\-#,##0.00\ "/>
    <numFmt numFmtId="168" formatCode="[$-F800]dddd\,\ mmmm\ dd\,\ yyyy"/>
  </numFmts>
  <fonts count="35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</font>
    <font>
      <b/>
      <sz val="10"/>
      <color rgb="FF0070C0"/>
      <name val="Arial"/>
      <family val="2"/>
    </font>
    <font>
      <b/>
      <sz val="11"/>
      <color theme="1"/>
      <name val="Calibri"/>
      <family val="2"/>
    </font>
    <font>
      <b/>
      <sz val="10"/>
      <color rgb="FF00B050"/>
      <name val="Arial"/>
      <family val="2"/>
    </font>
    <font>
      <sz val="11"/>
      <color rgb="FF00B05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22" fillId="0" borderId="0" applyFont="0" applyFill="0" applyBorder="0" applyAlignment="0" applyProtection="0"/>
    <xf numFmtId="0" fontId="6" fillId="0" borderId="1"/>
    <xf numFmtId="0" fontId="5" fillId="0" borderId="1"/>
    <xf numFmtId="0" fontId="4" fillId="0" borderId="1"/>
    <xf numFmtId="0" fontId="3" fillId="0" borderId="1"/>
    <xf numFmtId="0" fontId="2" fillId="0" borderId="1"/>
    <xf numFmtId="0" fontId="1" fillId="0" borderId="1"/>
  </cellStyleXfs>
  <cellXfs count="207">
    <xf numFmtId="0" fontId="0" fillId="0" borderId="0" xfId="0"/>
    <xf numFmtId="0" fontId="22" fillId="0" borderId="0" xfId="0" applyFont="1"/>
    <xf numFmtId="0" fontId="24" fillId="0" borderId="0" xfId="0" applyFont="1"/>
    <xf numFmtId="14" fontId="0" fillId="0" borderId="0" xfId="0" applyNumberFormat="1"/>
    <xf numFmtId="43" fontId="0" fillId="0" borderId="0" xfId="1" applyFont="1"/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4" fontId="24" fillId="0" borderId="0" xfId="0" applyNumberFormat="1" applyFont="1"/>
    <xf numFmtId="0" fontId="24" fillId="2" borderId="0" xfId="0" applyFont="1" applyFill="1"/>
    <xf numFmtId="0" fontId="0" fillId="4" borderId="0" xfId="0" applyFill="1"/>
    <xf numFmtId="0" fontId="24" fillId="4" borderId="0" xfId="0" applyFont="1" applyFill="1"/>
    <xf numFmtId="0" fontId="0" fillId="0" borderId="2" xfId="0" applyBorder="1"/>
    <xf numFmtId="0" fontId="0" fillId="0" borderId="5" xfId="0" applyBorder="1"/>
    <xf numFmtId="0" fontId="0" fillId="0" borderId="10" xfId="0" applyBorder="1"/>
    <xf numFmtId="0" fontId="0" fillId="0" borderId="8" xfId="0" applyBorder="1"/>
    <xf numFmtId="43" fontId="24" fillId="0" borderId="0" xfId="0" applyNumberFormat="1" applyFont="1"/>
    <xf numFmtId="0" fontId="0" fillId="2" borderId="2" xfId="0" applyFill="1" applyBorder="1"/>
    <xf numFmtId="49" fontId="8" fillId="5" borderId="2" xfId="0" applyNumberFormat="1" applyFont="1" applyFill="1" applyBorder="1" applyAlignment="1">
      <alignment vertical="top"/>
    </xf>
    <xf numFmtId="166" fontId="7" fillId="5" borderId="2" xfId="0" applyNumberFormat="1" applyFont="1" applyFill="1" applyBorder="1" applyAlignment="1">
      <alignment vertical="top"/>
    </xf>
    <xf numFmtId="49" fontId="23" fillId="5" borderId="2" xfId="0" applyNumberFormat="1" applyFont="1" applyFill="1" applyBorder="1" applyAlignment="1">
      <alignment vertical="top"/>
    </xf>
    <xf numFmtId="164" fontId="23" fillId="5" borderId="2" xfId="0" applyNumberFormat="1" applyFont="1" applyFill="1" applyBorder="1" applyAlignment="1">
      <alignment horizontal="right" vertical="top"/>
    </xf>
    <xf numFmtId="49" fontId="23" fillId="5" borderId="3" xfId="0" applyNumberFormat="1" applyFont="1" applyFill="1" applyBorder="1" applyAlignment="1">
      <alignment vertical="top"/>
    </xf>
    <xf numFmtId="49" fontId="8" fillId="5" borderId="8" xfId="0" applyNumberFormat="1" applyFont="1" applyFill="1" applyBorder="1" applyAlignment="1">
      <alignment vertical="top"/>
    </xf>
    <xf numFmtId="49" fontId="8" fillId="5" borderId="6" xfId="0" applyNumberFormat="1" applyFont="1" applyFill="1" applyBorder="1" applyAlignment="1">
      <alignment vertical="top"/>
    </xf>
    <xf numFmtId="164" fontId="15" fillId="5" borderId="2" xfId="0" applyNumberFormat="1" applyFont="1" applyFill="1" applyBorder="1" applyAlignment="1">
      <alignment horizontal="right" vertical="top"/>
    </xf>
    <xf numFmtId="49" fontId="8" fillId="5" borderId="4" xfId="0" applyNumberFormat="1" applyFont="1" applyFill="1" applyBorder="1" applyAlignment="1">
      <alignment vertical="top"/>
    </xf>
    <xf numFmtId="49" fontId="14" fillId="5" borderId="2" xfId="0" applyNumberFormat="1" applyFont="1" applyFill="1" applyBorder="1" applyAlignment="1">
      <alignment vertical="top"/>
    </xf>
    <xf numFmtId="166" fontId="23" fillId="5" borderId="2" xfId="0" applyNumberFormat="1" applyFont="1" applyFill="1" applyBorder="1" applyAlignment="1">
      <alignment vertical="top"/>
    </xf>
    <xf numFmtId="49" fontId="17" fillId="5" borderId="2" xfId="0" applyNumberFormat="1" applyFont="1" applyFill="1" applyBorder="1" applyAlignment="1">
      <alignment vertical="top"/>
    </xf>
    <xf numFmtId="164" fontId="18" fillId="5" borderId="2" xfId="0" applyNumberFormat="1" applyFont="1" applyFill="1" applyBorder="1" applyAlignment="1">
      <alignment horizontal="right" vertical="top"/>
    </xf>
    <xf numFmtId="49" fontId="19" fillId="5" borderId="2" xfId="0" applyNumberFormat="1" applyFont="1" applyFill="1" applyBorder="1" applyAlignment="1">
      <alignment vertical="top"/>
    </xf>
    <xf numFmtId="49" fontId="23" fillId="5" borderId="2" xfId="0" applyNumberFormat="1" applyFont="1" applyFill="1" applyBorder="1" applyAlignment="1">
      <alignment horizontal="right" vertical="top"/>
    </xf>
    <xf numFmtId="49" fontId="8" fillId="6" borderId="2" xfId="0" applyNumberFormat="1" applyFont="1" applyFill="1" applyBorder="1" applyAlignment="1">
      <alignment vertical="top"/>
    </xf>
    <xf numFmtId="15" fontId="8" fillId="6" borderId="2" xfId="0" applyNumberFormat="1" applyFont="1" applyFill="1" applyBorder="1" applyAlignment="1">
      <alignment horizontal="right" vertical="top"/>
    </xf>
    <xf numFmtId="43" fontId="8" fillId="6" borderId="2" xfId="1" applyFont="1" applyFill="1" applyBorder="1" applyAlignment="1">
      <alignment horizontal="right" vertical="top"/>
    </xf>
    <xf numFmtId="0" fontId="0" fillId="6" borderId="2" xfId="0" applyFill="1" applyBorder="1"/>
    <xf numFmtId="49" fontId="23" fillId="6" borderId="2" xfId="0" applyNumberFormat="1" applyFont="1" applyFill="1" applyBorder="1" applyAlignment="1">
      <alignment vertical="top"/>
    </xf>
    <xf numFmtId="15" fontId="23" fillId="6" borderId="2" xfId="0" applyNumberFormat="1" applyFont="1" applyFill="1" applyBorder="1" applyAlignment="1">
      <alignment horizontal="right" vertical="top"/>
    </xf>
    <xf numFmtId="43" fontId="25" fillId="6" borderId="2" xfId="1" applyFont="1" applyFill="1" applyBorder="1"/>
    <xf numFmtId="0" fontId="25" fillId="6" borderId="2" xfId="0" applyFont="1" applyFill="1" applyBorder="1"/>
    <xf numFmtId="15" fontId="8" fillId="6" borderId="8" xfId="0" applyNumberFormat="1" applyFont="1" applyFill="1" applyBorder="1" applyAlignment="1">
      <alignment horizontal="right" vertical="top"/>
    </xf>
    <xf numFmtId="49" fontId="8" fillId="7" borderId="2" xfId="0" applyNumberFormat="1" applyFont="1" applyFill="1" applyBorder="1" applyAlignment="1">
      <alignment vertical="top"/>
    </xf>
    <xf numFmtId="0" fontId="0" fillId="7" borderId="2" xfId="0" applyFill="1" applyBorder="1"/>
    <xf numFmtId="14" fontId="25" fillId="7" borderId="2" xfId="0" applyNumberFormat="1" applyFont="1" applyFill="1" applyBorder="1"/>
    <xf numFmtId="14" fontId="0" fillId="7" borderId="2" xfId="0" applyNumberFormat="1" applyFill="1" applyBorder="1"/>
    <xf numFmtId="15" fontId="8" fillId="7" borderId="2" xfId="0" applyNumberFormat="1" applyFont="1" applyFill="1" applyBorder="1" applyAlignment="1">
      <alignment horizontal="right" vertical="top"/>
    </xf>
    <xf numFmtId="43" fontId="0" fillId="7" borderId="2" xfId="1" applyFont="1" applyFill="1" applyBorder="1"/>
    <xf numFmtId="43" fontId="8" fillId="7" borderId="2" xfId="1" applyFont="1" applyFill="1" applyBorder="1" applyAlignment="1">
      <alignment horizontal="right" vertical="top"/>
    </xf>
    <xf numFmtId="0" fontId="24" fillId="7" borderId="2" xfId="0" applyFont="1" applyFill="1" applyBorder="1"/>
    <xf numFmtId="49" fontId="8" fillId="8" borderId="2" xfId="0" applyNumberFormat="1" applyFont="1" applyFill="1" applyBorder="1" applyAlignment="1">
      <alignment horizontal="center" vertical="center" wrapText="1"/>
    </xf>
    <xf numFmtId="49" fontId="9" fillId="8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 wrapText="1"/>
    </xf>
    <xf numFmtId="49" fontId="11" fillId="8" borderId="2" xfId="0" applyNumberFormat="1" applyFont="1" applyFill="1" applyBorder="1" applyAlignment="1">
      <alignment horizontal="center" vertical="center" wrapText="1"/>
    </xf>
    <xf numFmtId="43" fontId="8" fillId="8" borderId="2" xfId="1" applyFont="1" applyFill="1" applyBorder="1" applyAlignment="1">
      <alignment horizontal="center" vertical="center" wrapText="1"/>
    </xf>
    <xf numFmtId="49" fontId="12" fillId="8" borderId="2" xfId="0" applyNumberFormat="1" applyFont="1" applyFill="1" applyBorder="1" applyAlignment="1">
      <alignment horizontal="center" vertical="center" wrapText="1"/>
    </xf>
    <xf numFmtId="49" fontId="13" fillId="8" borderId="2" xfId="0" applyNumberFormat="1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22" fillId="0" borderId="2" xfId="0" applyFont="1" applyBorder="1"/>
    <xf numFmtId="0" fontId="0" fillId="0" borderId="0" xfId="0" applyAlignment="1">
      <alignment vertical="center" wrapText="1"/>
    </xf>
    <xf numFmtId="0" fontId="25" fillId="2" borderId="2" xfId="0" applyFont="1" applyFill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22" fillId="2" borderId="2" xfId="0" applyFont="1" applyFill="1" applyBorder="1"/>
    <xf numFmtId="166" fontId="23" fillId="5" borderId="8" xfId="0" applyNumberFormat="1" applyFont="1" applyFill="1" applyBorder="1" applyAlignment="1">
      <alignment vertical="top"/>
    </xf>
    <xf numFmtId="0" fontId="24" fillId="0" borderId="1" xfId="0" applyFont="1" applyBorder="1"/>
    <xf numFmtId="0" fontId="22" fillId="0" borderId="1" xfId="0" applyFont="1" applyBorder="1"/>
    <xf numFmtId="165" fontId="8" fillId="5" borderId="2" xfId="0" applyNumberFormat="1" applyFont="1" applyFill="1" applyBorder="1" applyAlignment="1">
      <alignment horizontal="right" vertical="top"/>
    </xf>
    <xf numFmtId="165" fontId="8" fillId="5" borderId="9" xfId="0" applyNumberFormat="1" applyFont="1" applyFill="1" applyBorder="1" applyAlignment="1">
      <alignment horizontal="right" vertical="top"/>
    </xf>
    <xf numFmtId="43" fontId="23" fillId="5" borderId="2" xfId="1" applyFont="1" applyFill="1" applyBorder="1" applyAlignment="1">
      <alignment horizontal="right" vertical="top"/>
    </xf>
    <xf numFmtId="1" fontId="23" fillId="5" borderId="4" xfId="0" applyNumberFormat="1" applyFont="1" applyFill="1" applyBorder="1" applyAlignment="1">
      <alignment vertical="top"/>
    </xf>
    <xf numFmtId="165" fontId="8" fillId="5" borderId="4" xfId="0" applyNumberFormat="1" applyFont="1" applyFill="1" applyBorder="1" applyAlignment="1">
      <alignment horizontal="right" vertical="top"/>
    </xf>
    <xf numFmtId="43" fontId="23" fillId="6" borderId="2" xfId="1" applyFont="1" applyFill="1" applyBorder="1" applyAlignment="1">
      <alignment horizontal="right" vertical="top"/>
    </xf>
    <xf numFmtId="43" fontId="8" fillId="5" borderId="8" xfId="1" applyFont="1" applyFill="1" applyBorder="1" applyAlignment="1">
      <alignment horizontal="right" vertical="top"/>
    </xf>
    <xf numFmtId="165" fontId="8" fillId="5" borderId="8" xfId="0" applyNumberFormat="1" applyFont="1" applyFill="1" applyBorder="1" applyAlignment="1">
      <alignment horizontal="right" vertical="top"/>
    </xf>
    <xf numFmtId="0" fontId="22" fillId="0" borderId="0" xfId="0" applyFont="1" applyAlignment="1">
      <alignment horizontal="center" vertical="center" wrapText="1"/>
    </xf>
    <xf numFmtId="49" fontId="8" fillId="6" borderId="1" xfId="0" applyNumberFormat="1" applyFont="1" applyFill="1" applyBorder="1" applyAlignment="1">
      <alignment vertical="top"/>
    </xf>
    <xf numFmtId="43" fontId="28" fillId="7" borderId="2" xfId="1" applyFont="1" applyFill="1" applyBorder="1"/>
    <xf numFmtId="0" fontId="0" fillId="8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2" fillId="0" borderId="2" xfId="0" applyNumberFormat="1" applyFont="1" applyBorder="1"/>
    <xf numFmtId="14" fontId="0" fillId="0" borderId="2" xfId="0" applyNumberFormat="1" applyBorder="1"/>
    <xf numFmtId="49" fontId="21" fillId="5" borderId="2" xfId="0" applyNumberFormat="1" applyFont="1" applyFill="1" applyBorder="1" applyAlignment="1">
      <alignment vertical="top"/>
    </xf>
    <xf numFmtId="49" fontId="16" fillId="5" borderId="2" xfId="0" applyNumberFormat="1" applyFont="1" applyFill="1" applyBorder="1" applyAlignment="1">
      <alignment vertical="top"/>
    </xf>
    <xf numFmtId="43" fontId="8" fillId="0" borderId="2" xfId="1" applyFont="1" applyFill="1" applyBorder="1" applyAlignment="1">
      <alignment horizontal="right" vertical="top"/>
    </xf>
    <xf numFmtId="0" fontId="0" fillId="4" borderId="0" xfId="0" applyFill="1" applyAlignment="1">
      <alignment horizontal="center"/>
    </xf>
    <xf numFmtId="164" fontId="8" fillId="5" borderId="8" xfId="0" applyNumberFormat="1" applyFont="1" applyFill="1" applyBorder="1" applyAlignment="1">
      <alignment horizontal="right" vertical="top"/>
    </xf>
    <xf numFmtId="1" fontId="8" fillId="5" borderId="4" xfId="0" applyNumberFormat="1" applyFont="1" applyFill="1" applyBorder="1" applyAlignment="1">
      <alignment vertical="top"/>
    </xf>
    <xf numFmtId="164" fontId="8" fillId="5" borderId="2" xfId="0" applyNumberFormat="1" applyFont="1" applyFill="1" applyBorder="1" applyAlignment="1">
      <alignment horizontal="right" vertical="top"/>
    </xf>
    <xf numFmtId="49" fontId="8" fillId="9" borderId="2" xfId="0" applyNumberFormat="1" applyFont="1" applyFill="1" applyBorder="1" applyAlignment="1">
      <alignment vertical="top"/>
    </xf>
    <xf numFmtId="0" fontId="0" fillId="9" borderId="0" xfId="0" applyFill="1"/>
    <xf numFmtId="0" fontId="0" fillId="9" borderId="2" xfId="0" applyFill="1" applyBorder="1"/>
    <xf numFmtId="14" fontId="25" fillId="9" borderId="2" xfId="0" applyNumberFormat="1" applyFont="1" applyFill="1" applyBorder="1"/>
    <xf numFmtId="14" fontId="0" fillId="9" borderId="2" xfId="0" applyNumberFormat="1" applyFill="1" applyBorder="1"/>
    <xf numFmtId="49" fontId="8" fillId="9" borderId="2" xfId="0" applyNumberFormat="1" applyFont="1" applyFill="1" applyBorder="1" applyAlignment="1">
      <alignment horizontal="center" vertical="center" wrapText="1"/>
    </xf>
    <xf numFmtId="43" fontId="8" fillId="9" borderId="2" xfId="1" applyFont="1" applyFill="1" applyBorder="1" applyAlignment="1">
      <alignment horizontal="center" vertical="center" wrapText="1"/>
    </xf>
    <xf numFmtId="43" fontId="0" fillId="9" borderId="2" xfId="1" applyFont="1" applyFill="1" applyBorder="1"/>
    <xf numFmtId="0" fontId="22" fillId="9" borderId="2" xfId="0" applyFont="1" applyFill="1" applyBorder="1"/>
    <xf numFmtId="0" fontId="28" fillId="9" borderId="2" xfId="0" applyFont="1" applyFill="1" applyBorder="1"/>
    <xf numFmtId="43" fontId="8" fillId="5" borderId="2" xfId="1" applyFont="1" applyFill="1" applyBorder="1" applyAlignment="1">
      <alignment horizontal="right" vertical="top"/>
    </xf>
    <xf numFmtId="14" fontId="22" fillId="0" borderId="0" xfId="0" applyNumberFormat="1" applyFont="1"/>
    <xf numFmtId="0" fontId="22" fillId="8" borderId="0" xfId="0" applyFont="1" applyFill="1" applyAlignment="1">
      <alignment horizontal="center" vertical="center" wrapText="1"/>
    </xf>
    <xf numFmtId="14" fontId="22" fillId="0" borderId="0" xfId="0" applyNumberFormat="1" applyFont="1" applyAlignment="1">
      <alignment horizontal="center" vertical="center" wrapText="1"/>
    </xf>
    <xf numFmtId="49" fontId="8" fillId="5" borderId="11" xfId="0" applyNumberFormat="1" applyFont="1" applyFill="1" applyBorder="1" applyAlignment="1">
      <alignment vertical="top"/>
    </xf>
    <xf numFmtId="49" fontId="8" fillId="5" borderId="3" xfId="0" applyNumberFormat="1" applyFont="1" applyFill="1" applyBorder="1" applyAlignment="1">
      <alignment vertical="top"/>
    </xf>
    <xf numFmtId="49" fontId="8" fillId="5" borderId="9" xfId="0" applyNumberFormat="1" applyFont="1" applyFill="1" applyBorder="1" applyAlignment="1">
      <alignment vertical="top"/>
    </xf>
    <xf numFmtId="166" fontId="8" fillId="5" borderId="2" xfId="0" applyNumberFormat="1" applyFont="1" applyFill="1" applyBorder="1" applyAlignment="1">
      <alignment vertical="top"/>
    </xf>
    <xf numFmtId="166" fontId="8" fillId="5" borderId="8" xfId="0" applyNumberFormat="1" applyFont="1" applyFill="1" applyBorder="1" applyAlignment="1">
      <alignment vertical="top"/>
    </xf>
    <xf numFmtId="49" fontId="8" fillId="5" borderId="12" xfId="0" applyNumberFormat="1" applyFont="1" applyFill="1" applyBorder="1" applyAlignment="1">
      <alignment vertical="top"/>
    </xf>
    <xf numFmtId="43" fontId="8" fillId="5" borderId="2" xfId="1" applyFont="1" applyFill="1" applyBorder="1" applyAlignment="1">
      <alignment horizontal="left" vertical="top"/>
    </xf>
    <xf numFmtId="2" fontId="24" fillId="6" borderId="2" xfId="0" applyNumberFormat="1" applyFont="1" applyFill="1" applyBorder="1"/>
    <xf numFmtId="0" fontId="28" fillId="6" borderId="2" xfId="0" applyFont="1" applyFill="1" applyBorder="1"/>
    <xf numFmtId="0" fontId="25" fillId="6" borderId="8" xfId="0" applyFont="1" applyFill="1" applyBorder="1"/>
    <xf numFmtId="167" fontId="25" fillId="6" borderId="2" xfId="1" applyNumberFormat="1" applyFont="1" applyFill="1" applyBorder="1"/>
    <xf numFmtId="43" fontId="8" fillId="6" borderId="2" xfId="1" applyFont="1" applyFill="1" applyBorder="1" applyAlignment="1">
      <alignment horizontal="left" vertical="top"/>
    </xf>
    <xf numFmtId="0" fontId="25" fillId="0" borderId="2" xfId="0" applyFont="1" applyBorder="1"/>
    <xf numFmtId="165" fontId="8" fillId="5" borderId="11" xfId="0" applyNumberFormat="1" applyFont="1" applyFill="1" applyBorder="1" applyAlignment="1">
      <alignment horizontal="right" vertical="top"/>
    </xf>
    <xf numFmtId="165" fontId="8" fillId="5" borderId="12" xfId="0" applyNumberFormat="1" applyFont="1" applyFill="1" applyBorder="1" applyAlignment="1">
      <alignment horizontal="right" vertical="top"/>
    </xf>
    <xf numFmtId="43" fontId="8" fillId="5" borderId="12" xfId="1" applyFont="1" applyFill="1" applyBorder="1" applyAlignment="1">
      <alignment horizontal="right" vertical="top"/>
    </xf>
    <xf numFmtId="43" fontId="23" fillId="7" borderId="2" xfId="1" applyFont="1" applyFill="1" applyBorder="1" applyAlignment="1">
      <alignment horizontal="right" vertical="top"/>
    </xf>
    <xf numFmtId="165" fontId="8" fillId="5" borderId="10" xfId="0" applyNumberFormat="1" applyFont="1" applyFill="1" applyBorder="1" applyAlignment="1">
      <alignment horizontal="right" vertical="top"/>
    </xf>
    <xf numFmtId="49" fontId="29" fillId="5" borderId="2" xfId="0" applyNumberFormat="1" applyFont="1" applyFill="1" applyBorder="1" applyAlignment="1">
      <alignment vertical="top"/>
    </xf>
    <xf numFmtId="165" fontId="29" fillId="5" borderId="2" xfId="0" applyNumberFormat="1" applyFont="1" applyFill="1" applyBorder="1" applyAlignment="1">
      <alignment horizontal="right" vertical="top"/>
    </xf>
    <xf numFmtId="165" fontId="29" fillId="5" borderId="4" xfId="0" applyNumberFormat="1" applyFont="1" applyFill="1" applyBorder="1" applyAlignment="1">
      <alignment horizontal="right" vertical="top"/>
    </xf>
    <xf numFmtId="43" fontId="8" fillId="5" borderId="10" xfId="1" applyFont="1" applyFill="1" applyBorder="1" applyAlignment="1">
      <alignment horizontal="right" vertical="top"/>
    </xf>
    <xf numFmtId="49" fontId="23" fillId="8" borderId="2" xfId="0" applyNumberFormat="1" applyFont="1" applyFill="1" applyBorder="1" applyAlignment="1">
      <alignment horizontal="center" vertical="center" wrapText="1"/>
    </xf>
    <xf numFmtId="165" fontId="23" fillId="5" borderId="2" xfId="0" applyNumberFormat="1" applyFont="1" applyFill="1" applyBorder="1" applyAlignment="1">
      <alignment horizontal="right" vertical="top"/>
    </xf>
    <xf numFmtId="165" fontId="23" fillId="5" borderId="10" xfId="0" applyNumberFormat="1" applyFont="1" applyFill="1" applyBorder="1" applyAlignment="1">
      <alignment horizontal="right" vertical="top"/>
    </xf>
    <xf numFmtId="165" fontId="8" fillId="5" borderId="13" xfId="0" applyNumberFormat="1" applyFont="1" applyFill="1" applyBorder="1" applyAlignment="1">
      <alignment horizontal="right" vertical="top"/>
    </xf>
    <xf numFmtId="43" fontId="23" fillId="5" borderId="7" xfId="1" applyFont="1" applyFill="1" applyBorder="1" applyAlignment="1">
      <alignment horizontal="right" vertical="top"/>
    </xf>
    <xf numFmtId="43" fontId="23" fillId="5" borderId="8" xfId="1" applyFont="1" applyFill="1" applyBorder="1" applyAlignment="1">
      <alignment horizontal="right" vertical="top"/>
    </xf>
    <xf numFmtId="0" fontId="24" fillId="6" borderId="2" xfId="0" applyFont="1" applyFill="1" applyBorder="1"/>
    <xf numFmtId="166" fontId="25" fillId="5" borderId="2" xfId="0" applyNumberFormat="1" applyFont="1" applyFill="1" applyBorder="1"/>
    <xf numFmtId="166" fontId="25" fillId="5" borderId="8" xfId="0" applyNumberFormat="1" applyFont="1" applyFill="1" applyBorder="1"/>
    <xf numFmtId="49" fontId="31" fillId="5" borderId="8" xfId="0" applyNumberFormat="1" applyFont="1" applyFill="1" applyBorder="1" applyAlignment="1">
      <alignment vertical="top"/>
    </xf>
    <xf numFmtId="49" fontId="31" fillId="5" borderId="2" xfId="0" applyNumberFormat="1" applyFont="1" applyFill="1" applyBorder="1" applyAlignment="1">
      <alignment vertical="top"/>
    </xf>
    <xf numFmtId="164" fontId="31" fillId="5" borderId="2" xfId="0" applyNumberFormat="1" applyFont="1" applyFill="1" applyBorder="1" applyAlignment="1">
      <alignment horizontal="right" vertical="top"/>
    </xf>
    <xf numFmtId="49" fontId="31" fillId="5" borderId="3" xfId="0" applyNumberFormat="1" applyFont="1" applyFill="1" applyBorder="1" applyAlignment="1">
      <alignment vertical="top"/>
    </xf>
    <xf numFmtId="43" fontId="31" fillId="5" borderId="2" xfId="1" applyFont="1" applyFill="1" applyBorder="1" applyAlignment="1">
      <alignment horizontal="right" vertical="top"/>
    </xf>
    <xf numFmtId="165" fontId="31" fillId="5" borderId="2" xfId="0" applyNumberFormat="1" applyFont="1" applyFill="1" applyBorder="1" applyAlignment="1">
      <alignment horizontal="right" vertical="top"/>
    </xf>
    <xf numFmtId="165" fontId="31" fillId="5" borderId="4" xfId="0" applyNumberFormat="1" applyFont="1" applyFill="1" applyBorder="1" applyAlignment="1">
      <alignment horizontal="right" vertical="top"/>
    </xf>
    <xf numFmtId="0" fontId="32" fillId="0" borderId="0" xfId="0" applyFont="1"/>
    <xf numFmtId="0" fontId="8" fillId="6" borderId="2" xfId="0" applyFont="1" applyFill="1" applyBorder="1" applyAlignment="1">
      <alignment horizontal="center" vertical="center"/>
    </xf>
    <xf numFmtId="0" fontId="30" fillId="6" borderId="2" xfId="0" applyFont="1" applyFill="1" applyBorder="1"/>
    <xf numFmtId="0" fontId="25" fillId="0" borderId="1" xfId="0" applyFont="1" applyBorder="1"/>
    <xf numFmtId="2" fontId="8" fillId="5" borderId="2" xfId="0" applyNumberFormat="1" applyFont="1" applyFill="1" applyBorder="1" applyAlignment="1">
      <alignment horizontal="right" vertical="top"/>
    </xf>
    <xf numFmtId="2" fontId="0" fillId="0" borderId="2" xfId="0" applyNumberFormat="1" applyBorder="1"/>
    <xf numFmtId="49" fontId="8" fillId="0" borderId="2" xfId="0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0" fillId="0" borderId="0" xfId="0" applyBorder="1"/>
    <xf numFmtId="14" fontId="22" fillId="0" borderId="0" xfId="0" applyNumberFormat="1" applyFont="1" applyBorder="1"/>
    <xf numFmtId="0" fontId="22" fillId="0" borderId="0" xfId="0" applyFont="1" applyBorder="1"/>
    <xf numFmtId="0" fontId="24" fillId="2" borderId="2" xfId="0" applyFont="1" applyFill="1" applyBorder="1"/>
    <xf numFmtId="0" fontId="25" fillId="9" borderId="2" xfId="0" applyFont="1" applyFill="1" applyBorder="1"/>
    <xf numFmtId="43" fontId="25" fillId="9" borderId="2" xfId="1" applyFont="1" applyFill="1" applyBorder="1"/>
    <xf numFmtId="164" fontId="8" fillId="5" borderId="2" xfId="0" applyNumberFormat="1" applyFont="1" applyFill="1" applyBorder="1" applyAlignment="1">
      <alignment horizontal="left" vertical="top"/>
    </xf>
    <xf numFmtId="0" fontId="24" fillId="0" borderId="0" xfId="0" applyFont="1" applyBorder="1"/>
    <xf numFmtId="0" fontId="24" fillId="4" borderId="0" xfId="0" applyFont="1" applyFill="1" applyBorder="1"/>
    <xf numFmtId="14" fontId="24" fillId="0" borderId="0" xfId="0" applyNumberFormat="1" applyFont="1" applyBorder="1"/>
    <xf numFmtId="43" fontId="24" fillId="0" borderId="0" xfId="0" applyNumberFormat="1" applyFont="1" applyBorder="1"/>
    <xf numFmtId="14" fontId="0" fillId="0" borderId="0" xfId="0" applyNumberFormat="1" applyBorder="1"/>
    <xf numFmtId="166" fontId="22" fillId="0" borderId="0" xfId="0" applyNumberFormat="1" applyFont="1" applyAlignment="1">
      <alignment horizontal="center" vertical="center" wrapText="1"/>
    </xf>
    <xf numFmtId="168" fontId="7" fillId="5" borderId="2" xfId="0" applyNumberFormat="1" applyFont="1" applyFill="1" applyBorder="1" applyAlignment="1">
      <alignment vertical="top"/>
    </xf>
    <xf numFmtId="1" fontId="8" fillId="5" borderId="2" xfId="0" applyNumberFormat="1" applyFont="1" applyFill="1" applyBorder="1" applyAlignment="1">
      <alignment horizontal="center" vertical="center"/>
    </xf>
    <xf numFmtId="168" fontId="7" fillId="6" borderId="2" xfId="0" applyNumberFormat="1" applyFont="1" applyFill="1" applyBorder="1" applyAlignment="1">
      <alignment vertical="top"/>
    </xf>
    <xf numFmtId="168" fontId="7" fillId="7" borderId="2" xfId="0" applyNumberFormat="1" applyFont="1" applyFill="1" applyBorder="1" applyAlignment="1">
      <alignment vertical="top"/>
    </xf>
    <xf numFmtId="168" fontId="7" fillId="9" borderId="2" xfId="0" applyNumberFormat="1" applyFont="1" applyFill="1" applyBorder="1" applyAlignment="1">
      <alignment vertical="top"/>
    </xf>
    <xf numFmtId="1" fontId="8" fillId="6" borderId="2" xfId="0" applyNumberFormat="1" applyFont="1" applyFill="1" applyBorder="1" applyAlignment="1">
      <alignment horizontal="center" vertical="center"/>
    </xf>
    <xf numFmtId="1" fontId="8" fillId="7" borderId="2" xfId="0" applyNumberFormat="1" applyFont="1" applyFill="1" applyBorder="1" applyAlignment="1">
      <alignment horizontal="center" vertical="center"/>
    </xf>
    <xf numFmtId="1" fontId="8" fillId="9" borderId="2" xfId="0" applyNumberFormat="1" applyFont="1" applyFill="1" applyBorder="1" applyAlignment="1">
      <alignment horizontal="center" vertical="center"/>
    </xf>
    <xf numFmtId="168" fontId="7" fillId="0" borderId="2" xfId="0" applyNumberFormat="1" applyFont="1" applyFill="1" applyBorder="1" applyAlignment="1">
      <alignment vertical="top"/>
    </xf>
    <xf numFmtId="168" fontId="7" fillId="6" borderId="8" xfId="0" applyNumberFormat="1" applyFont="1" applyFill="1" applyBorder="1" applyAlignment="1">
      <alignment vertical="top"/>
    </xf>
    <xf numFmtId="49" fontId="8" fillId="8" borderId="5" xfId="0" applyNumberFormat="1" applyFont="1" applyFill="1" applyBorder="1" applyAlignment="1">
      <alignment horizontal="center" vertical="center" wrapText="1"/>
    </xf>
    <xf numFmtId="49" fontId="9" fillId="8" borderId="5" xfId="0" applyNumberFormat="1" applyFont="1" applyFill="1" applyBorder="1" applyAlignment="1">
      <alignment horizontal="center" vertical="center" wrapText="1"/>
    </xf>
    <xf numFmtId="49" fontId="10" fillId="8" borderId="5" xfId="0" applyNumberFormat="1" applyFont="1" applyFill="1" applyBorder="1" applyAlignment="1">
      <alignment horizontal="center" vertical="center" wrapText="1"/>
    </xf>
    <xf numFmtId="49" fontId="11" fillId="8" borderId="5" xfId="0" applyNumberFormat="1" applyFont="1" applyFill="1" applyBorder="1" applyAlignment="1">
      <alignment horizontal="center" vertical="center" wrapText="1"/>
    </xf>
    <xf numFmtId="43" fontId="8" fillId="8" borderId="5" xfId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66" fontId="24" fillId="0" borderId="2" xfId="0" applyNumberFormat="1" applyFont="1" applyBorder="1"/>
    <xf numFmtId="0" fontId="24" fillId="0" borderId="2" xfId="0" applyFont="1" applyBorder="1"/>
    <xf numFmtId="1" fontId="8" fillId="5" borderId="2" xfId="0" applyNumberFormat="1" applyFont="1" applyFill="1" applyBorder="1" applyAlignment="1">
      <alignment vertical="top"/>
    </xf>
    <xf numFmtId="49" fontId="20" fillId="5" borderId="2" xfId="0" applyNumberFormat="1" applyFont="1" applyFill="1" applyBorder="1" applyAlignment="1">
      <alignment vertical="top"/>
    </xf>
    <xf numFmtId="49" fontId="8" fillId="6" borderId="2" xfId="0" applyNumberFormat="1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43" fontId="8" fillId="6" borderId="2" xfId="1" applyFont="1" applyFill="1" applyBorder="1" applyAlignment="1">
      <alignment horizontal="center" vertical="center" wrapText="1"/>
    </xf>
    <xf numFmtId="0" fontId="25" fillId="6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22" fillId="0" borderId="2" xfId="0" applyFont="1" applyFill="1" applyBorder="1"/>
    <xf numFmtId="0" fontId="8" fillId="6" borderId="2" xfId="0" applyFont="1" applyFill="1" applyBorder="1" applyAlignment="1">
      <alignment vertical="top"/>
    </xf>
    <xf numFmtId="49" fontId="8" fillId="7" borderId="2" xfId="0" applyNumberFormat="1" applyFont="1" applyFill="1" applyBorder="1" applyAlignment="1">
      <alignment horizontal="center" vertical="center" wrapText="1"/>
    </xf>
    <xf numFmtId="43" fontId="8" fillId="7" borderId="2" xfId="1" applyFont="1" applyFill="1" applyBorder="1" applyAlignment="1">
      <alignment horizontal="center" vertical="center" wrapText="1"/>
    </xf>
    <xf numFmtId="0" fontId="25" fillId="7" borderId="2" xfId="0" applyFont="1" applyFill="1" applyBorder="1"/>
    <xf numFmtId="0" fontId="0" fillId="4" borderId="2" xfId="0" applyFill="1" applyBorder="1"/>
    <xf numFmtId="0" fontId="24" fillId="4" borderId="2" xfId="0" applyFont="1" applyFill="1" applyBorder="1"/>
    <xf numFmtId="43" fontId="0" fillId="0" borderId="2" xfId="1" applyFont="1" applyBorder="1"/>
    <xf numFmtId="43" fontId="8" fillId="9" borderId="2" xfId="1" applyFont="1" applyFill="1" applyBorder="1" applyAlignment="1">
      <alignment horizontal="right" vertical="top"/>
    </xf>
    <xf numFmtId="1" fontId="8" fillId="6" borderId="8" xfId="0" applyNumberFormat="1" applyFont="1" applyFill="1" applyBorder="1" applyAlignment="1">
      <alignment horizontal="center" vertical="center"/>
    </xf>
    <xf numFmtId="43" fontId="8" fillId="6" borderId="8" xfId="1" applyFont="1" applyFill="1" applyBorder="1" applyAlignment="1">
      <alignment horizontal="right" vertical="top"/>
    </xf>
    <xf numFmtId="43" fontId="8" fillId="6" borderId="8" xfId="1" applyFont="1" applyFill="1" applyBorder="1" applyAlignment="1">
      <alignment horizontal="left" vertical="top"/>
    </xf>
    <xf numFmtId="0" fontId="22" fillId="0" borderId="8" xfId="0" applyFont="1" applyBorder="1"/>
    <xf numFmtId="14" fontId="22" fillId="0" borderId="1" xfId="0" applyNumberFormat="1" applyFont="1" applyBorder="1"/>
    <xf numFmtId="0" fontId="0" fillId="0" borderId="5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8">
    <cellStyle name="Comma" xfId="1" builtinId="3"/>
    <cellStyle name="Normal" xfId="0" builtinId="0"/>
    <cellStyle name="Normal 2" xfId="2"/>
    <cellStyle name="Normal 3" xfId="3"/>
    <cellStyle name="Normal 4" xfId="4"/>
    <cellStyle name="Normal 5" xfId="5"/>
    <cellStyle name="Normal 6" xfId="6"/>
    <cellStyle name="Normal 7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94"/>
  <sheetViews>
    <sheetView tabSelected="1" zoomScale="73" zoomScaleNormal="73" zoomScaleSheetLayoutView="100" workbookViewId="0">
      <pane xSplit="1" ySplit="1" topLeftCell="C2" activePane="bottomRight" state="frozen"/>
      <selection pane="topRight" activeCell="B1" sqref="B1"/>
      <selection pane="bottomLeft" activeCell="A8" sqref="A8"/>
      <selection pane="bottomRight" activeCell="J8" sqref="J8"/>
    </sheetView>
  </sheetViews>
  <sheetFormatPr defaultRowHeight="14.1" customHeight="1" x14ac:dyDescent="0.25"/>
  <cols>
    <col min="1" max="1" width="44.5703125" customWidth="1"/>
    <col min="2" max="2" width="15.28515625" hidden="1" customWidth="1"/>
    <col min="3" max="3" width="9.5703125" customWidth="1"/>
    <col min="4" max="4" width="8.28515625" customWidth="1"/>
    <col min="5" max="5" width="14.42578125" bestFit="1" customWidth="1"/>
    <col min="6" max="6" width="13.140625" customWidth="1"/>
    <col min="7" max="7" width="42.5703125" customWidth="1"/>
    <col min="8" max="8" width="18.7109375" style="4" customWidth="1"/>
    <col min="9" max="9" width="19" style="4" bestFit="1" customWidth="1"/>
    <col min="10" max="10" width="16.28515625" style="4" customWidth="1"/>
    <col min="11" max="11" width="19" customWidth="1"/>
    <col min="12" max="12" width="23" bestFit="1" customWidth="1"/>
    <col min="13" max="13" width="33.42578125" bestFit="1" customWidth="1"/>
    <col min="14" max="14" width="6.28515625" hidden="1" customWidth="1"/>
    <col min="15" max="15" width="15.140625" customWidth="1"/>
    <col min="16" max="16" width="12.85546875" hidden="1" customWidth="1"/>
    <col min="17" max="17" width="7.42578125" hidden="1" customWidth="1"/>
    <col min="18" max="18" width="45.85546875" hidden="1" customWidth="1"/>
    <col min="19" max="19" width="16" hidden="1" customWidth="1"/>
    <col min="20" max="20" width="24.5703125" hidden="1" customWidth="1"/>
    <col min="21" max="21" width="18.140625" hidden="1" customWidth="1"/>
    <col min="22" max="22" width="7" hidden="1" customWidth="1"/>
    <col min="23" max="23" width="30.42578125" hidden="1" customWidth="1"/>
    <col min="24" max="24" width="22" hidden="1" customWidth="1"/>
    <col min="25" max="25" width="16.5703125" hidden="1" customWidth="1"/>
    <col min="26" max="26" width="8.7109375" hidden="1" customWidth="1"/>
    <col min="27" max="27" width="19.140625" customWidth="1"/>
    <col min="28" max="28" width="13.85546875" bestFit="1" customWidth="1"/>
  </cols>
  <sheetData>
    <row r="1" spans="1:28" s="5" customFormat="1" ht="48.75" customHeight="1" x14ac:dyDescent="0.25">
      <c r="A1" s="172" t="s">
        <v>0</v>
      </c>
      <c r="B1" s="172" t="s">
        <v>904</v>
      </c>
      <c r="C1" s="172" t="s">
        <v>905</v>
      </c>
      <c r="D1" s="172" t="s">
        <v>462</v>
      </c>
      <c r="E1" s="173" t="s">
        <v>1</v>
      </c>
      <c r="F1" s="174" t="s">
        <v>2</v>
      </c>
      <c r="G1" s="175" t="s">
        <v>3</v>
      </c>
      <c r="H1" s="172" t="s">
        <v>767</v>
      </c>
      <c r="I1" s="176" t="s">
        <v>31</v>
      </c>
      <c r="J1" s="176" t="s">
        <v>439</v>
      </c>
      <c r="K1" s="172" t="s">
        <v>32</v>
      </c>
      <c r="L1" s="172" t="s">
        <v>812</v>
      </c>
      <c r="M1" s="172" t="s">
        <v>461</v>
      </c>
      <c r="N1" s="172" t="s">
        <v>462</v>
      </c>
      <c r="O1" s="177" t="s">
        <v>908</v>
      </c>
      <c r="P1" s="56"/>
      <c r="Q1" s="56"/>
      <c r="R1" s="56" t="s">
        <v>161</v>
      </c>
      <c r="S1" s="57">
        <v>45752</v>
      </c>
      <c r="T1" s="75" t="s">
        <v>159</v>
      </c>
      <c r="U1" s="5" t="s">
        <v>160</v>
      </c>
      <c r="W1" s="5" t="s">
        <v>363</v>
      </c>
      <c r="X1" s="5" t="s">
        <v>202</v>
      </c>
      <c r="Y1" s="5" t="s">
        <v>203</v>
      </c>
      <c r="Z1" s="5" t="s">
        <v>195</v>
      </c>
    </row>
    <row r="2" spans="1:28" s="75" customFormat="1" ht="13.5" customHeight="1" x14ac:dyDescent="0.25">
      <c r="A2" s="17" t="s">
        <v>127</v>
      </c>
      <c r="B2" s="162">
        <f ca="1">TODAY()</f>
        <v>46114</v>
      </c>
      <c r="C2" s="162"/>
      <c r="D2" s="163">
        <f ca="1">B2-E2</f>
        <v>175</v>
      </c>
      <c r="E2" s="88">
        <v>45939</v>
      </c>
      <c r="F2" s="17" t="s">
        <v>423</v>
      </c>
      <c r="G2" s="17" t="s">
        <v>16</v>
      </c>
      <c r="H2" s="67">
        <v>34250</v>
      </c>
      <c r="I2" s="99"/>
      <c r="J2" s="99"/>
      <c r="K2" s="99">
        <v>33500</v>
      </c>
      <c r="L2" s="67">
        <f t="shared" ref="L2:L7" si="0">+H2+I2-K2-J2</f>
        <v>750</v>
      </c>
      <c r="M2" s="17" t="s">
        <v>28</v>
      </c>
      <c r="N2" s="106">
        <v>159</v>
      </c>
      <c r="O2" s="80" t="s">
        <v>25</v>
      </c>
      <c r="P2" s="100">
        <v>46098</v>
      </c>
      <c r="Q2" s="1">
        <f>IF(L2=0,0,P2-E2)</f>
        <v>159</v>
      </c>
      <c r="R2" s="101"/>
      <c r="S2" s="102"/>
      <c r="AB2" s="161"/>
    </row>
    <row r="3" spans="1:28" s="75" customFormat="1" ht="13.5" customHeight="1" x14ac:dyDescent="0.25">
      <c r="A3" s="17" t="s">
        <v>98</v>
      </c>
      <c r="B3" s="162">
        <f t="shared" ref="B3:B66" ca="1" si="1">TODAY()</f>
        <v>46114</v>
      </c>
      <c r="C3" s="162"/>
      <c r="D3" s="163">
        <f t="shared" ref="D3:D7" ca="1" si="2">B3-E3</f>
        <v>111</v>
      </c>
      <c r="E3" s="88">
        <v>46003</v>
      </c>
      <c r="F3" s="17" t="s">
        <v>512</v>
      </c>
      <c r="G3" s="17" t="s">
        <v>41</v>
      </c>
      <c r="H3" s="67">
        <v>24418</v>
      </c>
      <c r="I3" s="99"/>
      <c r="J3" s="99"/>
      <c r="K3" s="99"/>
      <c r="L3" s="67">
        <f t="shared" si="0"/>
        <v>24418</v>
      </c>
      <c r="M3" s="17" t="s">
        <v>28</v>
      </c>
      <c r="N3" s="106">
        <v>95</v>
      </c>
      <c r="O3" s="80" t="s">
        <v>24</v>
      </c>
      <c r="P3" s="100">
        <v>46098</v>
      </c>
      <c r="Q3" s="1">
        <f>IF(L3=0,0,P3-E3)</f>
        <v>95</v>
      </c>
      <c r="R3" s="101"/>
      <c r="S3" s="102"/>
    </row>
    <row r="4" spans="1:28" s="75" customFormat="1" ht="13.5" customHeight="1" x14ac:dyDescent="0.25">
      <c r="A4" s="17" t="s">
        <v>98</v>
      </c>
      <c r="B4" s="162">
        <f t="shared" ca="1" si="1"/>
        <v>46114</v>
      </c>
      <c r="C4" s="162"/>
      <c r="D4" s="163">
        <f t="shared" ca="1" si="2"/>
        <v>111</v>
      </c>
      <c r="E4" s="88">
        <v>46003</v>
      </c>
      <c r="F4" s="17" t="s">
        <v>513</v>
      </c>
      <c r="G4" s="17" t="s">
        <v>16</v>
      </c>
      <c r="H4" s="67">
        <v>6372</v>
      </c>
      <c r="I4" s="99"/>
      <c r="J4" s="99"/>
      <c r="K4" s="99"/>
      <c r="L4" s="67">
        <f t="shared" si="0"/>
        <v>6372</v>
      </c>
      <c r="M4" s="17" t="s">
        <v>28</v>
      </c>
      <c r="N4" s="106">
        <v>95</v>
      </c>
      <c r="O4" s="80" t="s">
        <v>25</v>
      </c>
      <c r="P4" s="100">
        <v>46098</v>
      </c>
      <c r="Q4" s="1">
        <f>IF(L4=0,0,P4-E4)</f>
        <v>95</v>
      </c>
      <c r="R4" s="101"/>
      <c r="S4" s="102"/>
    </row>
    <row r="5" spans="1:28" s="75" customFormat="1" ht="13.5" customHeight="1" x14ac:dyDescent="0.25">
      <c r="A5" s="17" t="s">
        <v>514</v>
      </c>
      <c r="B5" s="162">
        <f t="shared" ca="1" si="1"/>
        <v>46114</v>
      </c>
      <c r="C5" s="162"/>
      <c r="D5" s="163">
        <f t="shared" ca="1" si="2"/>
        <v>13</v>
      </c>
      <c r="E5" s="88">
        <v>46101</v>
      </c>
      <c r="F5" s="17" t="s">
        <v>813</v>
      </c>
      <c r="G5" s="17" t="s">
        <v>7</v>
      </c>
      <c r="H5" s="67"/>
      <c r="I5" s="99">
        <v>27926</v>
      </c>
      <c r="J5" s="99"/>
      <c r="K5" s="99"/>
      <c r="L5" s="67">
        <f t="shared" si="0"/>
        <v>27926</v>
      </c>
      <c r="M5" s="17" t="s">
        <v>28</v>
      </c>
      <c r="N5" s="106"/>
      <c r="O5" s="80" t="s">
        <v>24</v>
      </c>
      <c r="P5" s="100"/>
      <c r="Q5" s="1"/>
      <c r="R5" s="101"/>
      <c r="S5" s="102"/>
    </row>
    <row r="6" spans="1:28" s="75" customFormat="1" ht="13.5" customHeight="1" x14ac:dyDescent="0.25">
      <c r="A6" s="17" t="s">
        <v>516</v>
      </c>
      <c r="B6" s="162">
        <f t="shared" ca="1" si="1"/>
        <v>46114</v>
      </c>
      <c r="C6" s="162"/>
      <c r="D6" s="163">
        <f t="shared" ca="1" si="2"/>
        <v>13</v>
      </c>
      <c r="E6" s="88">
        <v>46101</v>
      </c>
      <c r="F6" s="17" t="s">
        <v>814</v>
      </c>
      <c r="G6" s="17" t="s">
        <v>7</v>
      </c>
      <c r="H6" s="67"/>
      <c r="I6" s="99">
        <v>32979</v>
      </c>
      <c r="J6" s="99"/>
      <c r="K6" s="99"/>
      <c r="L6" s="67">
        <f t="shared" si="0"/>
        <v>32979</v>
      </c>
      <c r="M6" s="17" t="s">
        <v>28</v>
      </c>
      <c r="N6" s="106"/>
      <c r="O6" s="80" t="s">
        <v>24</v>
      </c>
      <c r="P6" s="100"/>
      <c r="Q6" s="1"/>
      <c r="R6" s="101"/>
      <c r="S6" s="102"/>
    </row>
    <row r="7" spans="1:28" s="75" customFormat="1" ht="13.5" customHeight="1" x14ac:dyDescent="0.25">
      <c r="A7" s="155" t="s">
        <v>347</v>
      </c>
      <c r="B7" s="162">
        <f t="shared" ca="1" si="1"/>
        <v>46114</v>
      </c>
      <c r="C7" s="162"/>
      <c r="D7" s="163">
        <f t="shared" ca="1" si="2"/>
        <v>8</v>
      </c>
      <c r="E7" s="88">
        <v>46106</v>
      </c>
      <c r="F7" s="88" t="s">
        <v>838</v>
      </c>
      <c r="G7" s="155" t="s">
        <v>22</v>
      </c>
      <c r="H7" s="67"/>
      <c r="I7" s="99">
        <v>14473</v>
      </c>
      <c r="J7" s="99"/>
      <c r="K7" s="99">
        <v>14473</v>
      </c>
      <c r="L7" s="67">
        <f t="shared" si="0"/>
        <v>0</v>
      </c>
      <c r="M7" s="17" t="s">
        <v>28</v>
      </c>
      <c r="N7" s="106"/>
      <c r="O7" s="80"/>
      <c r="P7" s="100"/>
      <c r="Q7" s="1"/>
      <c r="R7" s="101"/>
      <c r="S7" s="102"/>
    </row>
    <row r="8" spans="1:28" s="2" customFormat="1" ht="14.1" customHeight="1" x14ac:dyDescent="0.25">
      <c r="A8" s="19"/>
      <c r="B8" s="162">
        <f t="shared" ca="1" si="1"/>
        <v>46114</v>
      </c>
      <c r="C8" s="162"/>
      <c r="D8" s="19"/>
      <c r="E8" s="20"/>
      <c r="F8" s="19"/>
      <c r="G8" s="19"/>
      <c r="H8" s="69">
        <f>+SUM(H2:H7)</f>
        <v>65040</v>
      </c>
      <c r="I8" s="69">
        <f>+SUM(I2:I7)</f>
        <v>75378</v>
      </c>
      <c r="J8" s="69">
        <f>+SUM(J2:J7)</f>
        <v>0</v>
      </c>
      <c r="K8" s="69">
        <f>+SUM(K2:K7)</f>
        <v>47973</v>
      </c>
      <c r="L8" s="69">
        <f>+SUM(L2:L7)</f>
        <v>92445</v>
      </c>
      <c r="M8" s="69">
        <f>COUNTIF(L2:L6,"&gt;0")</f>
        <v>5</v>
      </c>
      <c r="N8" s="27"/>
      <c r="O8" s="178" t="s">
        <v>27</v>
      </c>
      <c r="P8" s="156"/>
      <c r="Q8" s="156"/>
      <c r="R8" s="156"/>
      <c r="S8" s="156"/>
      <c r="T8" s="156"/>
      <c r="U8" s="156"/>
      <c r="V8" s="156"/>
      <c r="W8" s="156"/>
      <c r="X8" s="156"/>
    </row>
    <row r="9" spans="1:28" s="1" customFormat="1" ht="13.5" customHeight="1" x14ac:dyDescent="0.25">
      <c r="A9" s="17" t="s">
        <v>119</v>
      </c>
      <c r="B9" s="162">
        <f t="shared" ca="1" si="1"/>
        <v>46114</v>
      </c>
      <c r="C9" s="162"/>
      <c r="D9" s="163">
        <f t="shared" ref="D9:D12" ca="1" si="3">B9-E9</f>
        <v>50</v>
      </c>
      <c r="E9" s="88">
        <v>46064</v>
      </c>
      <c r="F9" s="17" t="s">
        <v>695</v>
      </c>
      <c r="G9" s="17" t="s">
        <v>7</v>
      </c>
      <c r="H9" s="99">
        <v>18519</v>
      </c>
      <c r="I9" s="99"/>
      <c r="J9" s="99"/>
      <c r="K9" s="67"/>
      <c r="L9" s="67">
        <f>+H9+I9-K9-J9</f>
        <v>18519</v>
      </c>
      <c r="M9" s="17" t="s">
        <v>8</v>
      </c>
      <c r="N9" s="106">
        <v>34</v>
      </c>
      <c r="O9" s="80" t="s">
        <v>24</v>
      </c>
      <c r="P9" s="100">
        <v>46098</v>
      </c>
      <c r="Q9" s="1">
        <f>IF(L9=0,0,P9-E9)</f>
        <v>34</v>
      </c>
    </row>
    <row r="10" spans="1:28" s="1" customFormat="1" ht="13.5" customHeight="1" x14ac:dyDescent="0.25">
      <c r="A10" s="17" t="s">
        <v>533</v>
      </c>
      <c r="B10" s="162">
        <f t="shared" ca="1" si="1"/>
        <v>46114</v>
      </c>
      <c r="C10" s="162"/>
      <c r="D10" s="163">
        <f t="shared" ca="1" si="3"/>
        <v>20</v>
      </c>
      <c r="E10" s="88">
        <v>46094</v>
      </c>
      <c r="F10" s="17" t="s">
        <v>746</v>
      </c>
      <c r="G10" s="17" t="s">
        <v>534</v>
      </c>
      <c r="H10" s="99">
        <v>1174912</v>
      </c>
      <c r="I10" s="99"/>
      <c r="J10" s="99"/>
      <c r="K10" s="67"/>
      <c r="L10" s="67">
        <f>+H10+I10-K10-J10</f>
        <v>1174912</v>
      </c>
      <c r="M10" s="17" t="s">
        <v>8</v>
      </c>
      <c r="N10" s="106">
        <v>4</v>
      </c>
      <c r="O10" s="80" t="s">
        <v>25</v>
      </c>
      <c r="P10" s="100">
        <v>46098</v>
      </c>
      <c r="Q10" s="1">
        <f>IF(L10=0,0,P10-E10)</f>
        <v>4</v>
      </c>
    </row>
    <row r="11" spans="1:28" s="1" customFormat="1" ht="13.5" customHeight="1" x14ac:dyDescent="0.25">
      <c r="A11" s="17" t="s">
        <v>533</v>
      </c>
      <c r="B11" s="162">
        <f t="shared" ca="1" si="1"/>
        <v>46114</v>
      </c>
      <c r="C11" s="162"/>
      <c r="D11" s="163">
        <f t="shared" ca="1" si="3"/>
        <v>20</v>
      </c>
      <c r="E11" s="88">
        <v>46094</v>
      </c>
      <c r="F11" s="17" t="s">
        <v>747</v>
      </c>
      <c r="G11" s="17" t="s">
        <v>534</v>
      </c>
      <c r="H11" s="99">
        <v>90647</v>
      </c>
      <c r="I11" s="99"/>
      <c r="J11" s="99"/>
      <c r="K11" s="67"/>
      <c r="L11" s="67">
        <f>+H11+I11-K11-J11</f>
        <v>90647</v>
      </c>
      <c r="M11" s="17" t="s">
        <v>8</v>
      </c>
      <c r="N11" s="106">
        <v>4</v>
      </c>
      <c r="O11" s="80" t="s">
        <v>25</v>
      </c>
      <c r="P11" s="100">
        <v>46098</v>
      </c>
      <c r="Q11" s="1">
        <f>IF(L11=0,0,P11-E11)</f>
        <v>4</v>
      </c>
    </row>
    <row r="12" spans="1:28" s="1" customFormat="1" ht="13.5" customHeight="1" x14ac:dyDescent="0.25">
      <c r="A12" s="17" t="s">
        <v>119</v>
      </c>
      <c r="B12" s="162">
        <f t="shared" ca="1" si="1"/>
        <v>46114</v>
      </c>
      <c r="C12" s="162"/>
      <c r="D12" s="163">
        <f t="shared" ca="1" si="3"/>
        <v>13</v>
      </c>
      <c r="E12" s="88">
        <v>46101</v>
      </c>
      <c r="F12" s="17" t="s">
        <v>815</v>
      </c>
      <c r="G12" s="17" t="s">
        <v>7</v>
      </c>
      <c r="H12" s="99"/>
      <c r="I12" s="99">
        <v>23516</v>
      </c>
      <c r="J12" s="99"/>
      <c r="K12" s="67"/>
      <c r="L12" s="67">
        <f>+H12+I12-K12-J12</f>
        <v>23516</v>
      </c>
      <c r="M12" s="17" t="s">
        <v>8</v>
      </c>
      <c r="N12" s="106"/>
      <c r="O12" s="80" t="s">
        <v>24</v>
      </c>
      <c r="P12" s="100"/>
    </row>
    <row r="13" spans="1:28" s="2" customFormat="1" ht="14.1" customHeight="1" x14ac:dyDescent="0.25">
      <c r="A13" s="19"/>
      <c r="B13" s="162">
        <f t="shared" ca="1" si="1"/>
        <v>46114</v>
      </c>
      <c r="C13" s="162"/>
      <c r="D13" s="19"/>
      <c r="E13" s="20"/>
      <c r="F13" s="19"/>
      <c r="G13" s="19"/>
      <c r="H13" s="69">
        <f>SUM(H9:H12)</f>
        <v>1284078</v>
      </c>
      <c r="I13" s="69">
        <f>SUM(I9:I12)</f>
        <v>23516</v>
      </c>
      <c r="J13" s="69">
        <f>SUM(J9:J12)</f>
        <v>0</v>
      </c>
      <c r="K13" s="69">
        <f>SUM(K9:K12)</f>
        <v>0</v>
      </c>
      <c r="L13" s="69">
        <f>SUM(L9:L12)</f>
        <v>1307594</v>
      </c>
      <c r="M13" s="69">
        <f>COUNTIF(L9:L11,"&gt;0")</f>
        <v>3</v>
      </c>
      <c r="N13" s="27"/>
      <c r="O13" s="179" t="s">
        <v>27</v>
      </c>
      <c r="P13" s="7"/>
      <c r="R13" s="156"/>
    </row>
    <row r="14" spans="1:28" s="1" customFormat="1" ht="13.5" customHeight="1" x14ac:dyDescent="0.25">
      <c r="A14" s="17" t="s">
        <v>19</v>
      </c>
      <c r="B14" s="162">
        <f t="shared" ca="1" si="1"/>
        <v>46114</v>
      </c>
      <c r="C14" s="162"/>
      <c r="D14" s="163">
        <f t="shared" ref="D14:D77" ca="1" si="4">B14-E14</f>
        <v>138</v>
      </c>
      <c r="E14" s="88">
        <v>45976</v>
      </c>
      <c r="F14" s="17" t="s">
        <v>472</v>
      </c>
      <c r="G14" s="17" t="s">
        <v>7</v>
      </c>
      <c r="H14" s="99">
        <v>6282</v>
      </c>
      <c r="I14" s="99"/>
      <c r="J14" s="99"/>
      <c r="K14" s="67"/>
      <c r="L14" s="145">
        <f t="shared" ref="L14:L45" si="5">+H14+I14-K14-J14</f>
        <v>6282</v>
      </c>
      <c r="M14" s="17" t="s">
        <v>12</v>
      </c>
      <c r="N14" s="106">
        <v>122</v>
      </c>
      <c r="O14" s="80" t="s">
        <v>24</v>
      </c>
      <c r="P14" s="100">
        <v>46098</v>
      </c>
      <c r="Q14" s="1">
        <f t="shared" ref="Q14:Q52" si="6">IF(L14=0,0,P14-E14)</f>
        <v>122</v>
      </c>
      <c r="R14" s="100"/>
    </row>
    <row r="15" spans="1:28" s="1" customFormat="1" ht="13.5" customHeight="1" x14ac:dyDescent="0.25">
      <c r="A15" s="17" t="s">
        <v>93</v>
      </c>
      <c r="B15" s="162">
        <f t="shared" ca="1" si="1"/>
        <v>46114</v>
      </c>
      <c r="C15" s="162"/>
      <c r="D15" s="163">
        <f t="shared" ca="1" si="4"/>
        <v>120</v>
      </c>
      <c r="E15" s="88">
        <v>45994</v>
      </c>
      <c r="F15" s="17" t="s">
        <v>499</v>
      </c>
      <c r="G15" s="17" t="s">
        <v>368</v>
      </c>
      <c r="H15" s="99">
        <v>1005</v>
      </c>
      <c r="I15" s="99"/>
      <c r="J15" s="99"/>
      <c r="K15" s="67"/>
      <c r="L15" s="145">
        <f t="shared" si="5"/>
        <v>1005</v>
      </c>
      <c r="M15" s="17" t="s">
        <v>12</v>
      </c>
      <c r="N15" s="106">
        <v>104</v>
      </c>
      <c r="O15" s="80" t="s">
        <v>25</v>
      </c>
      <c r="P15" s="100">
        <v>46098</v>
      </c>
      <c r="Q15" s="1">
        <f t="shared" si="6"/>
        <v>104</v>
      </c>
      <c r="R15" s="100"/>
    </row>
    <row r="16" spans="1:28" s="1" customFormat="1" ht="13.5" customHeight="1" x14ac:dyDescent="0.25">
      <c r="A16" s="17" t="s">
        <v>340</v>
      </c>
      <c r="B16" s="162">
        <f t="shared" ca="1" si="1"/>
        <v>46114</v>
      </c>
      <c r="C16" s="162"/>
      <c r="D16" s="163">
        <f t="shared" ca="1" si="4"/>
        <v>118</v>
      </c>
      <c r="E16" s="88">
        <v>45996</v>
      </c>
      <c r="F16" s="17" t="s">
        <v>502</v>
      </c>
      <c r="G16" s="17" t="s">
        <v>282</v>
      </c>
      <c r="H16" s="99">
        <v>10217</v>
      </c>
      <c r="I16" s="99"/>
      <c r="J16" s="99"/>
      <c r="K16" s="67"/>
      <c r="L16" s="145">
        <f t="shared" si="5"/>
        <v>10217</v>
      </c>
      <c r="M16" s="17" t="s">
        <v>12</v>
      </c>
      <c r="N16" s="106">
        <v>102</v>
      </c>
      <c r="O16" s="80" t="s">
        <v>26</v>
      </c>
      <c r="P16" s="100">
        <v>46098</v>
      </c>
      <c r="Q16" s="1">
        <f t="shared" si="6"/>
        <v>102</v>
      </c>
      <c r="R16" s="100"/>
    </row>
    <row r="17" spans="1:18" s="1" customFormat="1" ht="13.5" customHeight="1" x14ac:dyDescent="0.25">
      <c r="A17" s="17" t="s">
        <v>148</v>
      </c>
      <c r="B17" s="162">
        <f t="shared" ca="1" si="1"/>
        <v>46114</v>
      </c>
      <c r="C17" s="162"/>
      <c r="D17" s="163">
        <f t="shared" ca="1" si="4"/>
        <v>112</v>
      </c>
      <c r="E17" s="88">
        <v>46002</v>
      </c>
      <c r="F17" s="17" t="s">
        <v>510</v>
      </c>
      <c r="G17" s="17" t="s">
        <v>282</v>
      </c>
      <c r="H17" s="99">
        <v>3629</v>
      </c>
      <c r="I17" s="99"/>
      <c r="J17" s="99"/>
      <c r="K17" s="67"/>
      <c r="L17" s="145">
        <f t="shared" si="5"/>
        <v>3629</v>
      </c>
      <c r="M17" s="17" t="s">
        <v>12</v>
      </c>
      <c r="N17" s="106">
        <v>96</v>
      </c>
      <c r="O17" s="80" t="s">
        <v>26</v>
      </c>
      <c r="P17" s="100">
        <v>46098</v>
      </c>
      <c r="Q17" s="1">
        <f t="shared" si="6"/>
        <v>96</v>
      </c>
      <c r="R17" s="100"/>
    </row>
    <row r="18" spans="1:18" s="1" customFormat="1" ht="13.5" customHeight="1" x14ac:dyDescent="0.25">
      <c r="A18" s="17" t="s">
        <v>258</v>
      </c>
      <c r="B18" s="162">
        <f t="shared" ca="1" si="1"/>
        <v>46114</v>
      </c>
      <c r="C18" s="162"/>
      <c r="D18" s="163">
        <f t="shared" ca="1" si="4"/>
        <v>104</v>
      </c>
      <c r="E18" s="88">
        <v>46010</v>
      </c>
      <c r="F18" s="17" t="s">
        <v>544</v>
      </c>
      <c r="G18" s="17" t="s">
        <v>22</v>
      </c>
      <c r="H18" s="99">
        <v>6338</v>
      </c>
      <c r="I18" s="99"/>
      <c r="J18" s="99"/>
      <c r="K18" s="67"/>
      <c r="L18" s="145">
        <f t="shared" si="5"/>
        <v>6338</v>
      </c>
      <c r="M18" s="17" t="s">
        <v>12</v>
      </c>
      <c r="N18" s="106">
        <v>88</v>
      </c>
      <c r="O18" s="80" t="s">
        <v>24</v>
      </c>
      <c r="P18" s="100">
        <v>46098</v>
      </c>
      <c r="Q18" s="1">
        <f t="shared" si="6"/>
        <v>88</v>
      </c>
      <c r="R18" s="100"/>
    </row>
    <row r="19" spans="1:18" s="1" customFormat="1" ht="13.5" customHeight="1" x14ac:dyDescent="0.25">
      <c r="A19" s="17" t="s">
        <v>496</v>
      </c>
      <c r="B19" s="162">
        <f t="shared" ca="1" si="1"/>
        <v>46114</v>
      </c>
      <c r="C19" s="162"/>
      <c r="D19" s="163">
        <f t="shared" ca="1" si="4"/>
        <v>90</v>
      </c>
      <c r="E19" s="88">
        <v>46024</v>
      </c>
      <c r="F19" s="17" t="s">
        <v>562</v>
      </c>
      <c r="G19" s="17" t="s">
        <v>13</v>
      </c>
      <c r="H19" s="99">
        <v>8850</v>
      </c>
      <c r="I19" s="99"/>
      <c r="J19" s="99"/>
      <c r="K19" s="67"/>
      <c r="L19" s="145">
        <f t="shared" si="5"/>
        <v>8850</v>
      </c>
      <c r="M19" s="17" t="s">
        <v>12</v>
      </c>
      <c r="N19" s="106">
        <v>74</v>
      </c>
      <c r="O19" s="80" t="s">
        <v>26</v>
      </c>
      <c r="P19" s="100">
        <v>46098</v>
      </c>
      <c r="Q19" s="1">
        <f t="shared" si="6"/>
        <v>74</v>
      </c>
      <c r="R19" s="100"/>
    </row>
    <row r="20" spans="1:18" s="1" customFormat="1" ht="13.5" customHeight="1" x14ac:dyDescent="0.25">
      <c r="A20" s="17" t="s">
        <v>571</v>
      </c>
      <c r="B20" s="162">
        <f t="shared" ca="1" si="1"/>
        <v>46114</v>
      </c>
      <c r="C20" s="162"/>
      <c r="D20" s="163">
        <f t="shared" ca="1" si="4"/>
        <v>90</v>
      </c>
      <c r="E20" s="88">
        <v>46024</v>
      </c>
      <c r="F20" s="17" t="s">
        <v>572</v>
      </c>
      <c r="G20" s="17" t="s">
        <v>282</v>
      </c>
      <c r="H20" s="99">
        <v>2053</v>
      </c>
      <c r="I20" s="99"/>
      <c r="J20" s="99"/>
      <c r="K20" s="67"/>
      <c r="L20" s="145">
        <f t="shared" si="5"/>
        <v>2053</v>
      </c>
      <c r="M20" s="17" t="s">
        <v>12</v>
      </c>
      <c r="N20" s="106">
        <v>74</v>
      </c>
      <c r="O20" s="80" t="s">
        <v>26</v>
      </c>
      <c r="P20" s="100">
        <v>46098</v>
      </c>
      <c r="Q20" s="1">
        <f t="shared" si="6"/>
        <v>74</v>
      </c>
      <c r="R20" s="100"/>
    </row>
    <row r="21" spans="1:18" s="1" customFormat="1" ht="13.5" customHeight="1" x14ac:dyDescent="0.25">
      <c r="A21" s="17" t="s">
        <v>216</v>
      </c>
      <c r="B21" s="162">
        <f t="shared" ca="1" si="1"/>
        <v>46114</v>
      </c>
      <c r="C21" s="162"/>
      <c r="D21" s="163">
        <f t="shared" ca="1" si="4"/>
        <v>86</v>
      </c>
      <c r="E21" s="88">
        <v>46028</v>
      </c>
      <c r="F21" s="17" t="s">
        <v>580</v>
      </c>
      <c r="G21" s="17" t="s">
        <v>123</v>
      </c>
      <c r="H21" s="99">
        <v>4262</v>
      </c>
      <c r="I21" s="99"/>
      <c r="J21" s="99"/>
      <c r="K21" s="67"/>
      <c r="L21" s="145">
        <f t="shared" si="5"/>
        <v>4262</v>
      </c>
      <c r="M21" s="17" t="s">
        <v>12</v>
      </c>
      <c r="N21" s="106">
        <v>70</v>
      </c>
      <c r="O21" s="80" t="s">
        <v>26</v>
      </c>
      <c r="P21" s="100">
        <v>46098</v>
      </c>
      <c r="Q21" s="1">
        <f t="shared" si="6"/>
        <v>70</v>
      </c>
      <c r="R21" s="100"/>
    </row>
    <row r="22" spans="1:18" s="1" customFormat="1" ht="13.5" customHeight="1" x14ac:dyDescent="0.25">
      <c r="A22" s="17" t="s">
        <v>145</v>
      </c>
      <c r="B22" s="162">
        <f t="shared" ca="1" si="1"/>
        <v>46114</v>
      </c>
      <c r="C22" s="162"/>
      <c r="D22" s="163">
        <f t="shared" ca="1" si="4"/>
        <v>78</v>
      </c>
      <c r="E22" s="88">
        <v>46036</v>
      </c>
      <c r="F22" s="17" t="s">
        <v>599</v>
      </c>
      <c r="G22" s="17" t="s">
        <v>7</v>
      </c>
      <c r="H22" s="99">
        <v>12662</v>
      </c>
      <c r="I22" s="99"/>
      <c r="J22" s="99"/>
      <c r="K22" s="67">
        <v>12629</v>
      </c>
      <c r="L22" s="145">
        <f t="shared" si="5"/>
        <v>33</v>
      </c>
      <c r="M22" s="17" t="s">
        <v>12</v>
      </c>
      <c r="N22" s="106">
        <v>62</v>
      </c>
      <c r="O22" s="80" t="s">
        <v>24</v>
      </c>
      <c r="P22" s="100">
        <v>46098</v>
      </c>
      <c r="Q22" s="1">
        <f t="shared" si="6"/>
        <v>62</v>
      </c>
      <c r="R22" s="100"/>
    </row>
    <row r="23" spans="1:18" s="1" customFormat="1" ht="13.5" customHeight="1" x14ac:dyDescent="0.25">
      <c r="A23" s="17" t="s">
        <v>19</v>
      </c>
      <c r="B23" s="162">
        <f t="shared" ca="1" si="1"/>
        <v>46114</v>
      </c>
      <c r="C23" s="162"/>
      <c r="D23" s="163">
        <f t="shared" ca="1" si="4"/>
        <v>78</v>
      </c>
      <c r="E23" s="88">
        <v>46036</v>
      </c>
      <c r="F23" s="17" t="s">
        <v>601</v>
      </c>
      <c r="G23" s="17" t="s">
        <v>7</v>
      </c>
      <c r="H23" s="99">
        <v>6328</v>
      </c>
      <c r="I23" s="99"/>
      <c r="J23" s="99"/>
      <c r="K23" s="67"/>
      <c r="L23" s="145">
        <f t="shared" si="5"/>
        <v>6328</v>
      </c>
      <c r="M23" s="17" t="s">
        <v>12</v>
      </c>
      <c r="N23" s="106">
        <v>62</v>
      </c>
      <c r="O23" s="80" t="s">
        <v>24</v>
      </c>
      <c r="P23" s="100">
        <v>46098</v>
      </c>
      <c r="Q23" s="1">
        <f t="shared" si="6"/>
        <v>62</v>
      </c>
      <c r="R23" s="100"/>
    </row>
    <row r="24" spans="1:18" s="1" customFormat="1" ht="13.5" customHeight="1" x14ac:dyDescent="0.25">
      <c r="A24" s="17" t="s">
        <v>646</v>
      </c>
      <c r="B24" s="162">
        <f t="shared" ca="1" si="1"/>
        <v>46114</v>
      </c>
      <c r="C24" s="162"/>
      <c r="D24" s="163">
        <f t="shared" ca="1" si="4"/>
        <v>68</v>
      </c>
      <c r="E24" s="88">
        <v>46046</v>
      </c>
      <c r="F24" s="17" t="s">
        <v>647</v>
      </c>
      <c r="G24" s="17" t="s">
        <v>184</v>
      </c>
      <c r="H24" s="99">
        <v>9558</v>
      </c>
      <c r="I24" s="99"/>
      <c r="J24" s="99"/>
      <c r="K24" s="67"/>
      <c r="L24" s="145">
        <f t="shared" si="5"/>
        <v>9558</v>
      </c>
      <c r="M24" s="17" t="s">
        <v>12</v>
      </c>
      <c r="N24" s="106">
        <v>52</v>
      </c>
      <c r="O24" s="80" t="s">
        <v>26</v>
      </c>
      <c r="P24" s="100">
        <v>46098</v>
      </c>
      <c r="Q24" s="1">
        <f t="shared" si="6"/>
        <v>52</v>
      </c>
      <c r="R24" s="100"/>
    </row>
    <row r="25" spans="1:18" s="1" customFormat="1" ht="13.5" customHeight="1" x14ac:dyDescent="0.25">
      <c r="A25" s="17" t="s">
        <v>258</v>
      </c>
      <c r="B25" s="162">
        <f t="shared" ca="1" si="1"/>
        <v>46114</v>
      </c>
      <c r="C25" s="162"/>
      <c r="D25" s="163">
        <f t="shared" ca="1" si="4"/>
        <v>65</v>
      </c>
      <c r="E25" s="88">
        <v>46049</v>
      </c>
      <c r="F25" s="17" t="s">
        <v>648</v>
      </c>
      <c r="G25" s="17" t="s">
        <v>22</v>
      </c>
      <c r="H25" s="99">
        <v>6548</v>
      </c>
      <c r="I25" s="99"/>
      <c r="J25" s="99"/>
      <c r="K25" s="67"/>
      <c r="L25" s="145">
        <f t="shared" si="5"/>
        <v>6548</v>
      </c>
      <c r="M25" s="17" t="s">
        <v>12</v>
      </c>
      <c r="N25" s="106">
        <v>49</v>
      </c>
      <c r="O25" s="80" t="s">
        <v>26</v>
      </c>
      <c r="P25" s="100">
        <v>46098</v>
      </c>
      <c r="Q25" s="1">
        <f t="shared" si="6"/>
        <v>49</v>
      </c>
      <c r="R25" s="100"/>
    </row>
    <row r="26" spans="1:18" s="1" customFormat="1" ht="13.5" customHeight="1" x14ac:dyDescent="0.25">
      <c r="A26" s="17" t="s">
        <v>652</v>
      </c>
      <c r="B26" s="162">
        <f t="shared" ca="1" si="1"/>
        <v>46114</v>
      </c>
      <c r="C26" s="162"/>
      <c r="D26" s="163">
        <f t="shared" ca="1" si="4"/>
        <v>63</v>
      </c>
      <c r="E26" s="88">
        <v>46051</v>
      </c>
      <c r="F26" s="17" t="s">
        <v>653</v>
      </c>
      <c r="G26" s="17" t="s">
        <v>243</v>
      </c>
      <c r="H26" s="99">
        <v>7965</v>
      </c>
      <c r="I26" s="99"/>
      <c r="J26" s="99"/>
      <c r="K26" s="67"/>
      <c r="L26" s="145">
        <f t="shared" si="5"/>
        <v>7965</v>
      </c>
      <c r="M26" s="17" t="s">
        <v>12</v>
      </c>
      <c r="N26" s="106">
        <v>47</v>
      </c>
      <c r="O26" s="80" t="s">
        <v>26</v>
      </c>
      <c r="P26" s="100">
        <v>46098</v>
      </c>
      <c r="Q26" s="1">
        <f t="shared" si="6"/>
        <v>47</v>
      </c>
      <c r="R26" s="100"/>
    </row>
    <row r="27" spans="1:18" s="1" customFormat="1" ht="13.5" customHeight="1" x14ac:dyDescent="0.25">
      <c r="A27" s="17" t="s">
        <v>186</v>
      </c>
      <c r="B27" s="162">
        <f t="shared" ca="1" si="1"/>
        <v>46114</v>
      </c>
      <c r="C27" s="162"/>
      <c r="D27" s="163">
        <f t="shared" ca="1" si="4"/>
        <v>59</v>
      </c>
      <c r="E27" s="88">
        <v>46055</v>
      </c>
      <c r="F27" s="17" t="s">
        <v>657</v>
      </c>
      <c r="G27" s="17" t="s">
        <v>13</v>
      </c>
      <c r="H27" s="99">
        <v>269</v>
      </c>
      <c r="I27" s="99"/>
      <c r="J27" s="99"/>
      <c r="K27" s="67">
        <v>269</v>
      </c>
      <c r="L27" s="145">
        <f t="shared" si="5"/>
        <v>0</v>
      </c>
      <c r="M27" s="17" t="s">
        <v>12</v>
      </c>
      <c r="N27" s="106">
        <v>43</v>
      </c>
      <c r="O27" s="80" t="s">
        <v>26</v>
      </c>
      <c r="P27" s="100">
        <v>46098</v>
      </c>
      <c r="Q27" s="1">
        <f t="shared" si="6"/>
        <v>0</v>
      </c>
      <c r="R27" s="100"/>
    </row>
    <row r="28" spans="1:18" s="1" customFormat="1" ht="13.5" customHeight="1" x14ac:dyDescent="0.25">
      <c r="A28" s="17" t="s">
        <v>186</v>
      </c>
      <c r="B28" s="162">
        <f t="shared" ca="1" si="1"/>
        <v>46114</v>
      </c>
      <c r="C28" s="162"/>
      <c r="D28" s="163">
        <f t="shared" ca="1" si="4"/>
        <v>59</v>
      </c>
      <c r="E28" s="88">
        <v>46055</v>
      </c>
      <c r="F28" s="17" t="s">
        <v>658</v>
      </c>
      <c r="G28" s="17" t="s">
        <v>13</v>
      </c>
      <c r="H28" s="99">
        <v>530</v>
      </c>
      <c r="I28" s="99"/>
      <c r="J28" s="99"/>
      <c r="K28" s="67">
        <v>530</v>
      </c>
      <c r="L28" s="145">
        <f t="shared" si="5"/>
        <v>0</v>
      </c>
      <c r="M28" s="17" t="s">
        <v>12</v>
      </c>
      <c r="N28" s="106">
        <v>43</v>
      </c>
      <c r="O28" s="80" t="s">
        <v>26</v>
      </c>
      <c r="P28" s="100">
        <v>46098</v>
      </c>
      <c r="Q28" s="1">
        <f t="shared" si="6"/>
        <v>0</v>
      </c>
      <c r="R28" s="100"/>
    </row>
    <row r="29" spans="1:18" s="1" customFormat="1" ht="13.5" customHeight="1" x14ac:dyDescent="0.25">
      <c r="A29" s="17" t="s">
        <v>186</v>
      </c>
      <c r="B29" s="162">
        <f t="shared" ca="1" si="1"/>
        <v>46114</v>
      </c>
      <c r="C29" s="162"/>
      <c r="D29" s="163">
        <f t="shared" ca="1" si="4"/>
        <v>59</v>
      </c>
      <c r="E29" s="88">
        <v>46055</v>
      </c>
      <c r="F29" s="17" t="s">
        <v>659</v>
      </c>
      <c r="G29" s="17" t="s">
        <v>13</v>
      </c>
      <c r="H29" s="99">
        <v>462</v>
      </c>
      <c r="I29" s="99"/>
      <c r="J29" s="99"/>
      <c r="K29" s="67">
        <v>462</v>
      </c>
      <c r="L29" s="145">
        <f t="shared" si="5"/>
        <v>0</v>
      </c>
      <c r="M29" s="17" t="s">
        <v>12</v>
      </c>
      <c r="N29" s="106">
        <v>43</v>
      </c>
      <c r="O29" s="80" t="s">
        <v>26</v>
      </c>
      <c r="P29" s="100">
        <v>46098</v>
      </c>
      <c r="Q29" s="1">
        <f t="shared" si="6"/>
        <v>0</v>
      </c>
      <c r="R29" s="100"/>
    </row>
    <row r="30" spans="1:18" s="1" customFormat="1" ht="13.5" customHeight="1" x14ac:dyDescent="0.25">
      <c r="A30" s="17" t="s">
        <v>186</v>
      </c>
      <c r="B30" s="162">
        <f t="shared" ca="1" si="1"/>
        <v>46114</v>
      </c>
      <c r="C30" s="162"/>
      <c r="D30" s="163">
        <f t="shared" ca="1" si="4"/>
        <v>59</v>
      </c>
      <c r="E30" s="88">
        <v>46055</v>
      </c>
      <c r="F30" s="17" t="s">
        <v>660</v>
      </c>
      <c r="G30" s="17" t="s">
        <v>13</v>
      </c>
      <c r="H30" s="99">
        <v>366</v>
      </c>
      <c r="I30" s="99"/>
      <c r="J30" s="99"/>
      <c r="K30" s="67">
        <v>366</v>
      </c>
      <c r="L30" s="145">
        <f t="shared" si="5"/>
        <v>0</v>
      </c>
      <c r="M30" s="17" t="s">
        <v>12</v>
      </c>
      <c r="N30" s="106">
        <v>43</v>
      </c>
      <c r="O30" s="80" t="s">
        <v>26</v>
      </c>
      <c r="P30" s="100">
        <v>46098</v>
      </c>
      <c r="Q30" s="1">
        <f t="shared" si="6"/>
        <v>0</v>
      </c>
      <c r="R30" s="100"/>
    </row>
    <row r="31" spans="1:18" s="1" customFormat="1" ht="13.5" customHeight="1" x14ac:dyDescent="0.25">
      <c r="A31" s="17" t="s">
        <v>573</v>
      </c>
      <c r="B31" s="162">
        <f t="shared" ca="1" si="1"/>
        <v>46114</v>
      </c>
      <c r="C31" s="162"/>
      <c r="D31" s="163">
        <f t="shared" ca="1" si="4"/>
        <v>61</v>
      </c>
      <c r="E31" s="88">
        <v>46053</v>
      </c>
      <c r="F31" s="17" t="s">
        <v>669</v>
      </c>
      <c r="G31" s="17" t="s">
        <v>23</v>
      </c>
      <c r="H31" s="99">
        <v>12744</v>
      </c>
      <c r="I31" s="99"/>
      <c r="J31" s="99"/>
      <c r="K31" s="67"/>
      <c r="L31" s="145">
        <f t="shared" si="5"/>
        <v>12744</v>
      </c>
      <c r="M31" s="17" t="s">
        <v>12</v>
      </c>
      <c r="N31" s="106">
        <v>45</v>
      </c>
      <c r="O31" s="80" t="s">
        <v>26</v>
      </c>
      <c r="P31" s="100">
        <v>46098</v>
      </c>
      <c r="Q31" s="1">
        <f t="shared" si="6"/>
        <v>45</v>
      </c>
      <c r="R31" s="100"/>
    </row>
    <row r="32" spans="1:18" s="1" customFormat="1" ht="13.5" customHeight="1" x14ac:dyDescent="0.25">
      <c r="A32" s="17" t="s">
        <v>340</v>
      </c>
      <c r="B32" s="162">
        <f t="shared" ca="1" si="1"/>
        <v>46114</v>
      </c>
      <c r="C32" s="162"/>
      <c r="D32" s="163">
        <f t="shared" ca="1" si="4"/>
        <v>58</v>
      </c>
      <c r="E32" s="88">
        <v>46056</v>
      </c>
      <c r="F32" s="17" t="s">
        <v>670</v>
      </c>
      <c r="G32" s="17" t="s">
        <v>13</v>
      </c>
      <c r="H32" s="99">
        <v>4766</v>
      </c>
      <c r="I32" s="99"/>
      <c r="J32" s="99"/>
      <c r="K32" s="67"/>
      <c r="L32" s="145">
        <f t="shared" si="5"/>
        <v>4766</v>
      </c>
      <c r="M32" s="17" t="s">
        <v>12</v>
      </c>
      <c r="N32" s="106">
        <v>42</v>
      </c>
      <c r="O32" s="80" t="s">
        <v>26</v>
      </c>
      <c r="P32" s="100">
        <v>46098</v>
      </c>
      <c r="Q32" s="1">
        <f t="shared" si="6"/>
        <v>42</v>
      </c>
      <c r="R32" s="100"/>
    </row>
    <row r="33" spans="1:18" s="1" customFormat="1" ht="13.5" customHeight="1" x14ac:dyDescent="0.25">
      <c r="A33" s="17" t="s">
        <v>671</v>
      </c>
      <c r="B33" s="162">
        <f t="shared" ca="1" si="1"/>
        <v>46114</v>
      </c>
      <c r="C33" s="162"/>
      <c r="D33" s="163">
        <f t="shared" ca="1" si="4"/>
        <v>57</v>
      </c>
      <c r="E33" s="88">
        <v>46057</v>
      </c>
      <c r="F33" s="17" t="s">
        <v>672</v>
      </c>
      <c r="G33" s="17" t="s">
        <v>673</v>
      </c>
      <c r="H33" s="99">
        <v>28674</v>
      </c>
      <c r="I33" s="99"/>
      <c r="J33" s="99"/>
      <c r="K33" s="67">
        <v>28674</v>
      </c>
      <c r="L33" s="145">
        <f t="shared" si="5"/>
        <v>0</v>
      </c>
      <c r="M33" s="17" t="s">
        <v>12</v>
      </c>
      <c r="N33" s="106">
        <v>41</v>
      </c>
      <c r="O33" s="80" t="s">
        <v>26</v>
      </c>
      <c r="P33" s="100">
        <v>46098</v>
      </c>
      <c r="Q33" s="1">
        <f t="shared" si="6"/>
        <v>0</v>
      </c>
      <c r="R33" s="100"/>
    </row>
    <row r="34" spans="1:18" s="1" customFormat="1" ht="13.5" customHeight="1" x14ac:dyDescent="0.25">
      <c r="A34" s="17" t="s">
        <v>674</v>
      </c>
      <c r="B34" s="162">
        <f t="shared" ca="1" si="1"/>
        <v>46114</v>
      </c>
      <c r="C34" s="162"/>
      <c r="D34" s="163">
        <f t="shared" ca="1" si="4"/>
        <v>56</v>
      </c>
      <c r="E34" s="88">
        <v>46058</v>
      </c>
      <c r="F34" s="17" t="s">
        <v>675</v>
      </c>
      <c r="G34" s="17" t="s">
        <v>13</v>
      </c>
      <c r="H34" s="99">
        <v>1513</v>
      </c>
      <c r="I34" s="99"/>
      <c r="J34" s="99"/>
      <c r="K34" s="67"/>
      <c r="L34" s="145">
        <f t="shared" si="5"/>
        <v>1513</v>
      </c>
      <c r="M34" s="17" t="s">
        <v>12</v>
      </c>
      <c r="N34" s="106">
        <v>40</v>
      </c>
      <c r="O34" s="80" t="s">
        <v>26</v>
      </c>
      <c r="P34" s="100">
        <v>46098</v>
      </c>
      <c r="Q34" s="1">
        <f t="shared" si="6"/>
        <v>40</v>
      </c>
      <c r="R34" s="100"/>
    </row>
    <row r="35" spans="1:18" s="1" customFormat="1" ht="13.5" customHeight="1" x14ac:dyDescent="0.25">
      <c r="A35" s="17" t="s">
        <v>688</v>
      </c>
      <c r="B35" s="162">
        <f t="shared" ca="1" si="1"/>
        <v>46114</v>
      </c>
      <c r="C35" s="162"/>
      <c r="D35" s="163">
        <f t="shared" ca="1" si="4"/>
        <v>50</v>
      </c>
      <c r="E35" s="88">
        <v>46064</v>
      </c>
      <c r="F35" s="17" t="s">
        <v>689</v>
      </c>
      <c r="G35" s="17" t="s">
        <v>7</v>
      </c>
      <c r="H35" s="99">
        <v>5289</v>
      </c>
      <c r="I35" s="99"/>
      <c r="J35" s="99"/>
      <c r="K35" s="67">
        <v>5289</v>
      </c>
      <c r="L35" s="145">
        <f t="shared" si="5"/>
        <v>0</v>
      </c>
      <c r="M35" s="17" t="s">
        <v>12</v>
      </c>
      <c r="N35" s="106">
        <v>34</v>
      </c>
      <c r="O35" s="80" t="s">
        <v>24</v>
      </c>
      <c r="P35" s="100">
        <v>46098</v>
      </c>
      <c r="Q35" s="1">
        <f t="shared" si="6"/>
        <v>0</v>
      </c>
      <c r="R35" s="100"/>
    </row>
    <row r="36" spans="1:18" s="1" customFormat="1" ht="13.5" customHeight="1" x14ac:dyDescent="0.25">
      <c r="A36" s="17" t="s">
        <v>19</v>
      </c>
      <c r="B36" s="162">
        <f t="shared" ca="1" si="1"/>
        <v>46114</v>
      </c>
      <c r="C36" s="162"/>
      <c r="D36" s="163">
        <f t="shared" ca="1" si="4"/>
        <v>50</v>
      </c>
      <c r="E36" s="88">
        <v>46064</v>
      </c>
      <c r="F36" s="17" t="s">
        <v>690</v>
      </c>
      <c r="G36" s="17" t="s">
        <v>7</v>
      </c>
      <c r="H36" s="99">
        <v>6416</v>
      </c>
      <c r="I36" s="99"/>
      <c r="J36" s="99"/>
      <c r="K36" s="67"/>
      <c r="L36" s="145">
        <f t="shared" si="5"/>
        <v>6416</v>
      </c>
      <c r="M36" s="17" t="s">
        <v>12</v>
      </c>
      <c r="N36" s="106">
        <v>34</v>
      </c>
      <c r="O36" s="80" t="s">
        <v>24</v>
      </c>
      <c r="P36" s="100">
        <v>46098</v>
      </c>
      <c r="Q36" s="1">
        <f t="shared" si="6"/>
        <v>34</v>
      </c>
      <c r="R36" s="100"/>
    </row>
    <row r="37" spans="1:18" s="1" customFormat="1" ht="13.5" customHeight="1" x14ac:dyDescent="0.25">
      <c r="A37" s="17" t="s">
        <v>618</v>
      </c>
      <c r="B37" s="162">
        <f t="shared" ca="1" si="1"/>
        <v>46114</v>
      </c>
      <c r="C37" s="162"/>
      <c r="D37" s="163">
        <f t="shared" ca="1" si="4"/>
        <v>50</v>
      </c>
      <c r="E37" s="88">
        <v>46064</v>
      </c>
      <c r="F37" s="17" t="s">
        <v>691</v>
      </c>
      <c r="G37" s="17" t="s">
        <v>7</v>
      </c>
      <c r="H37" s="99">
        <v>7859</v>
      </c>
      <c r="I37" s="99"/>
      <c r="J37" s="99"/>
      <c r="K37" s="67">
        <v>7859</v>
      </c>
      <c r="L37" s="145">
        <f t="shared" si="5"/>
        <v>0</v>
      </c>
      <c r="M37" s="17" t="s">
        <v>12</v>
      </c>
      <c r="N37" s="106">
        <v>34</v>
      </c>
      <c r="O37" s="80" t="s">
        <v>24</v>
      </c>
      <c r="P37" s="100">
        <v>46098</v>
      </c>
      <c r="Q37" s="1">
        <f t="shared" si="6"/>
        <v>0</v>
      </c>
      <c r="R37" s="100"/>
    </row>
    <row r="38" spans="1:18" s="1" customFormat="1" ht="13.5" customHeight="1" x14ac:dyDescent="0.25">
      <c r="A38" s="17" t="s">
        <v>29</v>
      </c>
      <c r="B38" s="162">
        <f t="shared" ca="1" si="1"/>
        <v>46114</v>
      </c>
      <c r="C38" s="162"/>
      <c r="D38" s="163">
        <f t="shared" ca="1" si="4"/>
        <v>50</v>
      </c>
      <c r="E38" s="88">
        <v>46064</v>
      </c>
      <c r="F38" s="17" t="s">
        <v>692</v>
      </c>
      <c r="G38" s="17" t="s">
        <v>7</v>
      </c>
      <c r="H38" s="99">
        <v>17235</v>
      </c>
      <c r="I38" s="99"/>
      <c r="J38" s="99"/>
      <c r="K38" s="67"/>
      <c r="L38" s="145">
        <f t="shared" si="5"/>
        <v>17235</v>
      </c>
      <c r="M38" s="17" t="s">
        <v>12</v>
      </c>
      <c r="N38" s="106">
        <v>34</v>
      </c>
      <c r="O38" s="80" t="s">
        <v>24</v>
      </c>
      <c r="P38" s="100">
        <v>46098</v>
      </c>
      <c r="Q38" s="1">
        <f t="shared" si="6"/>
        <v>34</v>
      </c>
      <c r="R38" s="100"/>
    </row>
    <row r="39" spans="1:18" s="1" customFormat="1" ht="13.5" customHeight="1" x14ac:dyDescent="0.25">
      <c r="A39" s="17" t="s">
        <v>687</v>
      </c>
      <c r="B39" s="162">
        <f t="shared" ca="1" si="1"/>
        <v>46114</v>
      </c>
      <c r="C39" s="162"/>
      <c r="D39" s="163">
        <f t="shared" ca="1" si="4"/>
        <v>50</v>
      </c>
      <c r="E39" s="88">
        <v>46064</v>
      </c>
      <c r="F39" s="17" t="s">
        <v>693</v>
      </c>
      <c r="G39" s="17" t="s">
        <v>7</v>
      </c>
      <c r="H39" s="99">
        <v>12749</v>
      </c>
      <c r="I39" s="99"/>
      <c r="J39" s="99"/>
      <c r="K39" s="67"/>
      <c r="L39" s="145">
        <f t="shared" si="5"/>
        <v>12749</v>
      </c>
      <c r="M39" s="17" t="s">
        <v>12</v>
      </c>
      <c r="N39" s="106">
        <v>34</v>
      </c>
      <c r="O39" s="80" t="s">
        <v>24</v>
      </c>
      <c r="P39" s="100">
        <v>46098</v>
      </c>
      <c r="Q39" s="1">
        <f t="shared" si="6"/>
        <v>34</v>
      </c>
      <c r="R39" s="100"/>
    </row>
    <row r="40" spans="1:18" s="1" customFormat="1" ht="13.5" customHeight="1" x14ac:dyDescent="0.25">
      <c r="A40" s="17" t="s">
        <v>324</v>
      </c>
      <c r="B40" s="162">
        <f t="shared" ca="1" si="1"/>
        <v>46114</v>
      </c>
      <c r="C40" s="162"/>
      <c r="D40" s="163">
        <f t="shared" ca="1" si="4"/>
        <v>50</v>
      </c>
      <c r="E40" s="88">
        <v>46064</v>
      </c>
      <c r="F40" s="17" t="s">
        <v>694</v>
      </c>
      <c r="G40" s="17" t="s">
        <v>7</v>
      </c>
      <c r="H40" s="99">
        <v>3929</v>
      </c>
      <c r="I40" s="99"/>
      <c r="J40" s="99"/>
      <c r="K40" s="67"/>
      <c r="L40" s="145">
        <f t="shared" si="5"/>
        <v>3929</v>
      </c>
      <c r="M40" s="17" t="s">
        <v>12</v>
      </c>
      <c r="N40" s="106">
        <v>34</v>
      </c>
      <c r="O40" s="80" t="s">
        <v>24</v>
      </c>
      <c r="P40" s="100">
        <v>46098</v>
      </c>
      <c r="Q40" s="1">
        <f t="shared" si="6"/>
        <v>34</v>
      </c>
      <c r="R40" s="100"/>
    </row>
    <row r="41" spans="1:18" s="1" customFormat="1" ht="13.5" customHeight="1" x14ac:dyDescent="0.25">
      <c r="A41" s="17" t="s">
        <v>148</v>
      </c>
      <c r="B41" s="162">
        <f t="shared" ca="1" si="1"/>
        <v>46114</v>
      </c>
      <c r="C41" s="162"/>
      <c r="D41" s="163">
        <f t="shared" ca="1" si="4"/>
        <v>44</v>
      </c>
      <c r="E41" s="88">
        <v>46070</v>
      </c>
      <c r="F41" s="17" t="s">
        <v>704</v>
      </c>
      <c r="G41" s="17" t="s">
        <v>656</v>
      </c>
      <c r="H41" s="99">
        <v>9416</v>
      </c>
      <c r="I41" s="99"/>
      <c r="J41" s="99"/>
      <c r="K41" s="67"/>
      <c r="L41" s="145">
        <f t="shared" si="5"/>
        <v>9416</v>
      </c>
      <c r="M41" s="17" t="s">
        <v>12</v>
      </c>
      <c r="N41" s="106">
        <v>28</v>
      </c>
      <c r="O41" s="80" t="s">
        <v>26</v>
      </c>
      <c r="P41" s="100">
        <v>46098</v>
      </c>
      <c r="Q41" s="1">
        <f t="shared" si="6"/>
        <v>28</v>
      </c>
      <c r="R41" s="100"/>
    </row>
    <row r="42" spans="1:18" s="1" customFormat="1" ht="13.5" customHeight="1" x14ac:dyDescent="0.25">
      <c r="A42" s="17" t="s">
        <v>340</v>
      </c>
      <c r="B42" s="162">
        <f t="shared" ca="1" si="1"/>
        <v>46114</v>
      </c>
      <c r="C42" s="162"/>
      <c r="D42" s="163">
        <f t="shared" ca="1" si="4"/>
        <v>43</v>
      </c>
      <c r="E42" s="88">
        <v>46071</v>
      </c>
      <c r="F42" s="17" t="s">
        <v>708</v>
      </c>
      <c r="G42" s="17" t="s">
        <v>131</v>
      </c>
      <c r="H42" s="99">
        <v>3560</v>
      </c>
      <c r="I42" s="99"/>
      <c r="J42" s="99"/>
      <c r="K42" s="67"/>
      <c r="L42" s="145">
        <f t="shared" si="5"/>
        <v>3560</v>
      </c>
      <c r="M42" s="17" t="s">
        <v>12</v>
      </c>
      <c r="N42" s="106">
        <v>27</v>
      </c>
      <c r="O42" s="80" t="s">
        <v>25</v>
      </c>
      <c r="P42" s="100">
        <v>46098</v>
      </c>
      <c r="Q42" s="1">
        <f t="shared" si="6"/>
        <v>27</v>
      </c>
      <c r="R42" s="100"/>
    </row>
    <row r="43" spans="1:18" s="1" customFormat="1" ht="13.5" customHeight="1" x14ac:dyDescent="0.25">
      <c r="A43" s="17" t="s">
        <v>717</v>
      </c>
      <c r="B43" s="162">
        <f t="shared" ca="1" si="1"/>
        <v>46114</v>
      </c>
      <c r="C43" s="162"/>
      <c r="D43" s="163">
        <f t="shared" ca="1" si="4"/>
        <v>38</v>
      </c>
      <c r="E43" s="88">
        <v>46076</v>
      </c>
      <c r="F43" s="17" t="s">
        <v>718</v>
      </c>
      <c r="G43" s="17" t="s">
        <v>34</v>
      </c>
      <c r="H43" s="99">
        <v>9558</v>
      </c>
      <c r="I43" s="99"/>
      <c r="J43" s="99"/>
      <c r="K43" s="67"/>
      <c r="L43" s="145">
        <f t="shared" si="5"/>
        <v>9558</v>
      </c>
      <c r="M43" s="17" t="s">
        <v>12</v>
      </c>
      <c r="N43" s="106">
        <v>22</v>
      </c>
      <c r="O43" s="80" t="s">
        <v>26</v>
      </c>
      <c r="P43" s="100">
        <v>46098</v>
      </c>
      <c r="Q43" s="1">
        <f t="shared" si="6"/>
        <v>22</v>
      </c>
      <c r="R43" s="100"/>
    </row>
    <row r="44" spans="1:18" s="1" customFormat="1" ht="13.5" customHeight="1" x14ac:dyDescent="0.25">
      <c r="A44" s="17" t="s">
        <v>19</v>
      </c>
      <c r="B44" s="162">
        <f t="shared" ca="1" si="1"/>
        <v>46114</v>
      </c>
      <c r="C44" s="162"/>
      <c r="D44" s="163">
        <f t="shared" ca="1" si="4"/>
        <v>36</v>
      </c>
      <c r="E44" s="88">
        <v>46078</v>
      </c>
      <c r="F44" s="17" t="s">
        <v>720</v>
      </c>
      <c r="G44" s="17" t="s">
        <v>11</v>
      </c>
      <c r="H44" s="99">
        <v>25960</v>
      </c>
      <c r="I44" s="99"/>
      <c r="J44" s="99"/>
      <c r="K44" s="67"/>
      <c r="L44" s="145">
        <f t="shared" si="5"/>
        <v>25960</v>
      </c>
      <c r="M44" s="17" t="s">
        <v>12</v>
      </c>
      <c r="N44" s="106">
        <v>20</v>
      </c>
      <c r="O44" s="80" t="s">
        <v>411</v>
      </c>
      <c r="P44" s="100">
        <v>46098</v>
      </c>
      <c r="Q44" s="1">
        <f t="shared" si="6"/>
        <v>20</v>
      </c>
      <c r="R44" s="100"/>
    </row>
    <row r="45" spans="1:18" s="1" customFormat="1" ht="13.5" customHeight="1" x14ac:dyDescent="0.25">
      <c r="A45" s="17" t="s">
        <v>721</v>
      </c>
      <c r="B45" s="162">
        <f t="shared" ca="1" si="1"/>
        <v>46114</v>
      </c>
      <c r="C45" s="162"/>
      <c r="D45" s="163">
        <f t="shared" ca="1" si="4"/>
        <v>36</v>
      </c>
      <c r="E45" s="88">
        <v>46078</v>
      </c>
      <c r="F45" s="17" t="s">
        <v>722</v>
      </c>
      <c r="G45" s="17" t="s">
        <v>7</v>
      </c>
      <c r="H45" s="99">
        <v>6010</v>
      </c>
      <c r="I45" s="99"/>
      <c r="J45" s="99"/>
      <c r="K45" s="67">
        <v>6010</v>
      </c>
      <c r="L45" s="145">
        <f t="shared" si="5"/>
        <v>0</v>
      </c>
      <c r="M45" s="17" t="s">
        <v>12</v>
      </c>
      <c r="N45" s="106">
        <v>20</v>
      </c>
      <c r="O45" s="80" t="s">
        <v>24</v>
      </c>
      <c r="P45" s="100">
        <v>46098</v>
      </c>
      <c r="Q45" s="1">
        <f t="shared" si="6"/>
        <v>0</v>
      </c>
      <c r="R45" s="100"/>
    </row>
    <row r="46" spans="1:18" s="1" customFormat="1" ht="13.5" customHeight="1" x14ac:dyDescent="0.25">
      <c r="A46" s="17" t="s">
        <v>340</v>
      </c>
      <c r="B46" s="162">
        <f t="shared" ca="1" si="1"/>
        <v>46114</v>
      </c>
      <c r="C46" s="162"/>
      <c r="D46" s="163">
        <f t="shared" ca="1" si="4"/>
        <v>36</v>
      </c>
      <c r="E46" s="88">
        <v>46078</v>
      </c>
      <c r="F46" s="17" t="s">
        <v>723</v>
      </c>
      <c r="G46" s="17" t="s">
        <v>7</v>
      </c>
      <c r="H46" s="99">
        <v>22747</v>
      </c>
      <c r="I46" s="99"/>
      <c r="J46" s="99"/>
      <c r="K46" s="67"/>
      <c r="L46" s="145">
        <f t="shared" ref="L46:L77" si="7">+H46+I46-K46-J46</f>
        <v>22747</v>
      </c>
      <c r="M46" s="17" t="s">
        <v>12</v>
      </c>
      <c r="N46" s="106">
        <v>20</v>
      </c>
      <c r="O46" s="80" t="s">
        <v>24</v>
      </c>
      <c r="P46" s="100">
        <v>46098</v>
      </c>
      <c r="Q46" s="1">
        <f t="shared" si="6"/>
        <v>20</v>
      </c>
      <c r="R46" s="100"/>
    </row>
    <row r="47" spans="1:18" s="1" customFormat="1" ht="13.5" customHeight="1" x14ac:dyDescent="0.25">
      <c r="A47" s="17" t="s">
        <v>258</v>
      </c>
      <c r="B47" s="162">
        <f t="shared" ca="1" si="1"/>
        <v>46114</v>
      </c>
      <c r="C47" s="162"/>
      <c r="D47" s="163">
        <f t="shared" ca="1" si="4"/>
        <v>35</v>
      </c>
      <c r="E47" s="88">
        <v>46079</v>
      </c>
      <c r="F47" s="17" t="s">
        <v>724</v>
      </c>
      <c r="G47" s="17" t="s">
        <v>22</v>
      </c>
      <c r="H47" s="99">
        <v>6685</v>
      </c>
      <c r="I47" s="99"/>
      <c r="J47" s="99"/>
      <c r="K47" s="67"/>
      <c r="L47" s="145">
        <f t="shared" si="7"/>
        <v>6685</v>
      </c>
      <c r="M47" s="17" t="s">
        <v>12</v>
      </c>
      <c r="N47" s="106">
        <v>19</v>
      </c>
      <c r="O47" s="80" t="s">
        <v>24</v>
      </c>
      <c r="P47" s="100">
        <v>46098</v>
      </c>
      <c r="Q47" s="1">
        <f t="shared" si="6"/>
        <v>19</v>
      </c>
      <c r="R47" s="100"/>
    </row>
    <row r="48" spans="1:18" s="1" customFormat="1" ht="13.5" customHeight="1" x14ac:dyDescent="0.25">
      <c r="A48" s="17" t="s">
        <v>246</v>
      </c>
      <c r="B48" s="162">
        <f t="shared" ca="1" si="1"/>
        <v>46114</v>
      </c>
      <c r="C48" s="162"/>
      <c r="D48" s="163">
        <f t="shared" ca="1" si="4"/>
        <v>33</v>
      </c>
      <c r="E48" s="88">
        <v>46081</v>
      </c>
      <c r="F48" s="17" t="s">
        <v>730</v>
      </c>
      <c r="G48" s="17" t="s">
        <v>289</v>
      </c>
      <c r="H48" s="99">
        <v>15930</v>
      </c>
      <c r="I48" s="99"/>
      <c r="J48" s="99"/>
      <c r="K48" s="67"/>
      <c r="L48" s="145">
        <f t="shared" si="7"/>
        <v>15930</v>
      </c>
      <c r="M48" s="17" t="s">
        <v>12</v>
      </c>
      <c r="N48" s="106">
        <v>17</v>
      </c>
      <c r="O48" s="80" t="s">
        <v>26</v>
      </c>
      <c r="P48" s="100">
        <v>46098</v>
      </c>
      <c r="Q48" s="1">
        <f t="shared" si="6"/>
        <v>17</v>
      </c>
      <c r="R48" s="100"/>
    </row>
    <row r="49" spans="1:18" s="1" customFormat="1" ht="13.5" customHeight="1" x14ac:dyDescent="0.25">
      <c r="A49" s="17" t="s">
        <v>731</v>
      </c>
      <c r="B49" s="162">
        <f t="shared" ca="1" si="1"/>
        <v>46114</v>
      </c>
      <c r="C49" s="162"/>
      <c r="D49" s="163">
        <f t="shared" ca="1" si="4"/>
        <v>27</v>
      </c>
      <c r="E49" s="88">
        <v>46087</v>
      </c>
      <c r="F49" s="17" t="s">
        <v>732</v>
      </c>
      <c r="G49" s="17" t="s">
        <v>289</v>
      </c>
      <c r="H49" s="99">
        <v>15930</v>
      </c>
      <c r="I49" s="99"/>
      <c r="J49" s="99"/>
      <c r="K49" s="67">
        <v>15930</v>
      </c>
      <c r="L49" s="145">
        <f t="shared" si="7"/>
        <v>0</v>
      </c>
      <c r="M49" s="17" t="s">
        <v>12</v>
      </c>
      <c r="N49" s="106">
        <v>11</v>
      </c>
      <c r="O49" s="80" t="s">
        <v>26</v>
      </c>
      <c r="P49" s="100">
        <v>46098</v>
      </c>
      <c r="Q49" s="1">
        <f t="shared" si="6"/>
        <v>0</v>
      </c>
      <c r="R49" s="100"/>
    </row>
    <row r="50" spans="1:18" s="1" customFormat="1" ht="13.5" customHeight="1" x14ac:dyDescent="0.25">
      <c r="A50" s="17" t="s">
        <v>748</v>
      </c>
      <c r="B50" s="162">
        <f t="shared" ca="1" si="1"/>
        <v>46114</v>
      </c>
      <c r="C50" s="162"/>
      <c r="D50" s="163">
        <f t="shared" ca="1" si="4"/>
        <v>24</v>
      </c>
      <c r="E50" s="88">
        <v>46090</v>
      </c>
      <c r="F50" s="17" t="s">
        <v>749</v>
      </c>
      <c r="G50" s="17" t="s">
        <v>184</v>
      </c>
      <c r="H50" s="99">
        <v>9558</v>
      </c>
      <c r="I50" s="99"/>
      <c r="J50" s="99"/>
      <c r="K50" s="67"/>
      <c r="L50" s="145">
        <f t="shared" si="7"/>
        <v>9558</v>
      </c>
      <c r="M50" s="17" t="s">
        <v>12</v>
      </c>
      <c r="N50" s="106">
        <v>8</v>
      </c>
      <c r="O50" s="80" t="s">
        <v>26</v>
      </c>
      <c r="P50" s="100">
        <v>46098</v>
      </c>
      <c r="Q50" s="1">
        <f t="shared" si="6"/>
        <v>8</v>
      </c>
      <c r="R50" s="100"/>
    </row>
    <row r="51" spans="1:18" s="1" customFormat="1" ht="13.5" customHeight="1" x14ac:dyDescent="0.25">
      <c r="A51" s="17" t="s">
        <v>186</v>
      </c>
      <c r="B51" s="162">
        <f t="shared" ca="1" si="1"/>
        <v>46114</v>
      </c>
      <c r="C51" s="162"/>
      <c r="D51" s="163">
        <f t="shared" ca="1" si="4"/>
        <v>22</v>
      </c>
      <c r="E51" s="88">
        <v>46092</v>
      </c>
      <c r="F51" s="17" t="s">
        <v>750</v>
      </c>
      <c r="G51" s="17" t="s">
        <v>13</v>
      </c>
      <c r="H51" s="99">
        <v>147</v>
      </c>
      <c r="I51" s="99"/>
      <c r="J51" s="99"/>
      <c r="K51" s="67"/>
      <c r="L51" s="145">
        <f t="shared" si="7"/>
        <v>147</v>
      </c>
      <c r="M51" s="17" t="s">
        <v>12</v>
      </c>
      <c r="N51" s="106">
        <v>6</v>
      </c>
      <c r="O51" s="80" t="s">
        <v>26</v>
      </c>
      <c r="P51" s="100">
        <v>46098</v>
      </c>
      <c r="Q51" s="1">
        <f t="shared" si="6"/>
        <v>6</v>
      </c>
      <c r="R51" s="100"/>
    </row>
    <row r="52" spans="1:18" s="1" customFormat="1" ht="13.5" customHeight="1" x14ac:dyDescent="0.25">
      <c r="A52" s="17" t="s">
        <v>383</v>
      </c>
      <c r="B52" s="162">
        <f t="shared" ca="1" si="1"/>
        <v>46114</v>
      </c>
      <c r="C52" s="162"/>
      <c r="D52" s="163">
        <f t="shared" ca="1" si="4"/>
        <v>21</v>
      </c>
      <c r="E52" s="88">
        <v>46093</v>
      </c>
      <c r="F52" s="17" t="s">
        <v>751</v>
      </c>
      <c r="G52" s="17" t="s">
        <v>13</v>
      </c>
      <c r="H52" s="99">
        <v>1912</v>
      </c>
      <c r="I52" s="99"/>
      <c r="J52" s="99"/>
      <c r="K52" s="67"/>
      <c r="L52" s="145">
        <f t="shared" si="7"/>
        <v>1912</v>
      </c>
      <c r="M52" s="17" t="s">
        <v>12</v>
      </c>
      <c r="N52" s="106">
        <v>5</v>
      </c>
      <c r="O52" s="80" t="s">
        <v>26</v>
      </c>
      <c r="P52" s="100">
        <v>46098</v>
      </c>
      <c r="Q52" s="1">
        <f t="shared" si="6"/>
        <v>5</v>
      </c>
      <c r="R52" s="100"/>
    </row>
    <row r="53" spans="1:18" s="1" customFormat="1" ht="13.5" customHeight="1" x14ac:dyDescent="0.25">
      <c r="A53" s="17" t="s">
        <v>780</v>
      </c>
      <c r="B53" s="162">
        <f t="shared" ca="1" si="1"/>
        <v>46114</v>
      </c>
      <c r="C53" s="162"/>
      <c r="D53" s="163">
        <f t="shared" ca="1" si="4"/>
        <v>16</v>
      </c>
      <c r="E53" s="88">
        <v>46098</v>
      </c>
      <c r="F53" s="17" t="s">
        <v>781</v>
      </c>
      <c r="G53" s="17" t="s">
        <v>184</v>
      </c>
      <c r="H53" s="99"/>
      <c r="I53" s="99">
        <v>5310</v>
      </c>
      <c r="J53" s="99"/>
      <c r="K53" s="67"/>
      <c r="L53" s="145">
        <f t="shared" si="7"/>
        <v>5310</v>
      </c>
      <c r="M53" s="17" t="s">
        <v>12</v>
      </c>
      <c r="N53" s="106"/>
      <c r="O53" s="80" t="s">
        <v>26</v>
      </c>
      <c r="P53" s="100"/>
      <c r="R53" s="100"/>
    </row>
    <row r="54" spans="1:18" s="1" customFormat="1" ht="13.5" customHeight="1" x14ac:dyDescent="0.25">
      <c r="A54" s="17" t="s">
        <v>782</v>
      </c>
      <c r="B54" s="162">
        <f t="shared" ca="1" si="1"/>
        <v>46114</v>
      </c>
      <c r="C54" s="162"/>
      <c r="D54" s="163">
        <f t="shared" ca="1" si="4"/>
        <v>16</v>
      </c>
      <c r="E54" s="88">
        <v>46098</v>
      </c>
      <c r="F54" s="17" t="s">
        <v>783</v>
      </c>
      <c r="G54" s="17" t="s">
        <v>92</v>
      </c>
      <c r="H54" s="99"/>
      <c r="I54" s="99">
        <v>26550</v>
      </c>
      <c r="J54" s="99"/>
      <c r="K54" s="67"/>
      <c r="L54" s="145">
        <f t="shared" si="7"/>
        <v>26550</v>
      </c>
      <c r="M54" s="17" t="s">
        <v>12</v>
      </c>
      <c r="N54" s="106"/>
      <c r="O54" s="80" t="s">
        <v>26</v>
      </c>
      <c r="P54" s="100"/>
      <c r="R54" s="100"/>
    </row>
    <row r="55" spans="1:18" s="1" customFormat="1" ht="13.5" customHeight="1" x14ac:dyDescent="0.25">
      <c r="A55" s="17" t="s">
        <v>782</v>
      </c>
      <c r="B55" s="162">
        <f t="shared" ca="1" si="1"/>
        <v>46114</v>
      </c>
      <c r="C55" s="162"/>
      <c r="D55" s="163">
        <f t="shared" ca="1" si="4"/>
        <v>16</v>
      </c>
      <c r="E55" s="88">
        <v>46098</v>
      </c>
      <c r="F55" s="17" t="s">
        <v>783</v>
      </c>
      <c r="G55" s="17" t="s">
        <v>184</v>
      </c>
      <c r="H55" s="99"/>
      <c r="I55" s="99">
        <v>3983</v>
      </c>
      <c r="J55" s="99"/>
      <c r="K55" s="67"/>
      <c r="L55" s="145">
        <f t="shared" si="7"/>
        <v>3983</v>
      </c>
      <c r="M55" s="17" t="s">
        <v>12</v>
      </c>
      <c r="N55" s="106"/>
      <c r="O55" s="80" t="s">
        <v>26</v>
      </c>
      <c r="P55" s="100"/>
      <c r="R55" s="100"/>
    </row>
    <row r="56" spans="1:18" s="1" customFormat="1" ht="13.5" customHeight="1" x14ac:dyDescent="0.25">
      <c r="A56" s="17" t="s">
        <v>784</v>
      </c>
      <c r="B56" s="162">
        <f t="shared" ca="1" si="1"/>
        <v>46114</v>
      </c>
      <c r="C56" s="162"/>
      <c r="D56" s="163">
        <f t="shared" ca="1" si="4"/>
        <v>15</v>
      </c>
      <c r="E56" s="88">
        <v>46099</v>
      </c>
      <c r="F56" s="17" t="s">
        <v>785</v>
      </c>
      <c r="G56" s="17" t="s">
        <v>23</v>
      </c>
      <c r="H56" s="99"/>
      <c r="I56" s="99">
        <v>28674</v>
      </c>
      <c r="J56" s="99"/>
      <c r="K56" s="67">
        <v>28674</v>
      </c>
      <c r="L56" s="145">
        <f t="shared" si="7"/>
        <v>0</v>
      </c>
      <c r="M56" s="17" t="s">
        <v>12</v>
      </c>
      <c r="N56" s="106"/>
      <c r="O56" s="80" t="s">
        <v>26</v>
      </c>
      <c r="P56" s="100"/>
      <c r="R56" s="100"/>
    </row>
    <row r="57" spans="1:18" s="1" customFormat="1" ht="13.5" customHeight="1" x14ac:dyDescent="0.25">
      <c r="A57" s="17" t="s">
        <v>684</v>
      </c>
      <c r="B57" s="162">
        <f t="shared" ca="1" si="1"/>
        <v>46114</v>
      </c>
      <c r="C57" s="162"/>
      <c r="D57" s="163">
        <f t="shared" ca="1" si="4"/>
        <v>14</v>
      </c>
      <c r="E57" s="88">
        <v>46100</v>
      </c>
      <c r="F57" s="17" t="s">
        <v>788</v>
      </c>
      <c r="G57" s="17" t="s">
        <v>123</v>
      </c>
      <c r="H57" s="99"/>
      <c r="I57" s="99">
        <v>6290</v>
      </c>
      <c r="J57" s="99"/>
      <c r="K57" s="67"/>
      <c r="L57" s="145">
        <f t="shared" si="7"/>
        <v>6290</v>
      </c>
      <c r="M57" s="17" t="s">
        <v>12</v>
      </c>
      <c r="N57" s="106"/>
      <c r="O57" s="80" t="s">
        <v>26</v>
      </c>
      <c r="P57" s="100"/>
      <c r="R57" s="100"/>
    </row>
    <row r="58" spans="1:18" s="1" customFormat="1" ht="13.5" customHeight="1" x14ac:dyDescent="0.25">
      <c r="A58" s="17" t="s">
        <v>721</v>
      </c>
      <c r="B58" s="162">
        <f t="shared" ca="1" si="1"/>
        <v>46114</v>
      </c>
      <c r="C58" s="162"/>
      <c r="D58" s="163">
        <f t="shared" ca="1" si="4"/>
        <v>13</v>
      </c>
      <c r="E58" s="88">
        <v>46101</v>
      </c>
      <c r="F58" s="17" t="s">
        <v>789</v>
      </c>
      <c r="G58" s="17" t="s">
        <v>7</v>
      </c>
      <c r="H58" s="99"/>
      <c r="I58" s="99">
        <v>5666</v>
      </c>
      <c r="J58" s="99"/>
      <c r="K58" s="67">
        <v>5666</v>
      </c>
      <c r="L58" s="145">
        <f t="shared" si="7"/>
        <v>0</v>
      </c>
      <c r="M58" s="17" t="s">
        <v>12</v>
      </c>
      <c r="N58" s="106"/>
      <c r="O58" s="80" t="s">
        <v>24</v>
      </c>
      <c r="P58" s="100"/>
      <c r="R58" s="100"/>
    </row>
    <row r="59" spans="1:18" s="1" customFormat="1" ht="13.5" customHeight="1" x14ac:dyDescent="0.25">
      <c r="A59" s="17" t="s">
        <v>168</v>
      </c>
      <c r="B59" s="162">
        <f t="shared" ca="1" si="1"/>
        <v>46114</v>
      </c>
      <c r="C59" s="162"/>
      <c r="D59" s="163">
        <f t="shared" ca="1" si="4"/>
        <v>13</v>
      </c>
      <c r="E59" s="88">
        <v>46101</v>
      </c>
      <c r="F59" s="17" t="s">
        <v>790</v>
      </c>
      <c r="G59" s="17" t="s">
        <v>7</v>
      </c>
      <c r="H59" s="99"/>
      <c r="I59" s="99">
        <v>14737</v>
      </c>
      <c r="J59" s="99"/>
      <c r="K59" s="67"/>
      <c r="L59" s="145">
        <f t="shared" si="7"/>
        <v>14737</v>
      </c>
      <c r="M59" s="17" t="s">
        <v>12</v>
      </c>
      <c r="N59" s="106"/>
      <c r="O59" s="80" t="s">
        <v>24</v>
      </c>
      <c r="P59" s="100"/>
      <c r="R59" s="100"/>
    </row>
    <row r="60" spans="1:18" s="1" customFormat="1" ht="13.5" customHeight="1" x14ac:dyDescent="0.25">
      <c r="A60" s="17" t="s">
        <v>340</v>
      </c>
      <c r="B60" s="162">
        <f t="shared" ca="1" si="1"/>
        <v>46114</v>
      </c>
      <c r="C60" s="162"/>
      <c r="D60" s="163">
        <f t="shared" ca="1" si="4"/>
        <v>13</v>
      </c>
      <c r="E60" s="88">
        <v>46101</v>
      </c>
      <c r="F60" s="17" t="s">
        <v>791</v>
      </c>
      <c r="G60" s="17" t="s">
        <v>7</v>
      </c>
      <c r="H60" s="99"/>
      <c r="I60" s="99">
        <v>21089</v>
      </c>
      <c r="J60" s="99"/>
      <c r="K60" s="67"/>
      <c r="L60" s="145">
        <f t="shared" si="7"/>
        <v>21089</v>
      </c>
      <c r="M60" s="17" t="s">
        <v>12</v>
      </c>
      <c r="N60" s="106"/>
      <c r="O60" s="80" t="s">
        <v>24</v>
      </c>
      <c r="P60" s="100"/>
      <c r="R60" s="100"/>
    </row>
    <row r="61" spans="1:18" s="1" customFormat="1" ht="13.5" customHeight="1" x14ac:dyDescent="0.25">
      <c r="A61" s="17" t="s">
        <v>116</v>
      </c>
      <c r="B61" s="162">
        <f t="shared" ca="1" si="1"/>
        <v>46114</v>
      </c>
      <c r="C61" s="162"/>
      <c r="D61" s="163">
        <f t="shared" ca="1" si="4"/>
        <v>13</v>
      </c>
      <c r="E61" s="88">
        <v>46101</v>
      </c>
      <c r="F61" s="17" t="s">
        <v>792</v>
      </c>
      <c r="G61" s="17" t="s">
        <v>7</v>
      </c>
      <c r="H61" s="99"/>
      <c r="I61" s="99">
        <v>14632</v>
      </c>
      <c r="J61" s="99"/>
      <c r="K61" s="67"/>
      <c r="L61" s="145">
        <f t="shared" si="7"/>
        <v>14632</v>
      </c>
      <c r="M61" s="17" t="s">
        <v>12</v>
      </c>
      <c r="N61" s="106"/>
      <c r="O61" s="80" t="s">
        <v>24</v>
      </c>
      <c r="P61" s="100"/>
      <c r="R61" s="100"/>
    </row>
    <row r="62" spans="1:18" s="1" customFormat="1" ht="13.5" customHeight="1" x14ac:dyDescent="0.25">
      <c r="A62" s="17" t="s">
        <v>688</v>
      </c>
      <c r="B62" s="162">
        <f t="shared" ca="1" si="1"/>
        <v>46114</v>
      </c>
      <c r="C62" s="162"/>
      <c r="D62" s="163">
        <f t="shared" ca="1" si="4"/>
        <v>13</v>
      </c>
      <c r="E62" s="88">
        <v>46101</v>
      </c>
      <c r="F62" s="17" t="s">
        <v>793</v>
      </c>
      <c r="G62" s="17" t="s">
        <v>7</v>
      </c>
      <c r="H62" s="99"/>
      <c r="I62" s="99">
        <v>5003</v>
      </c>
      <c r="J62" s="99"/>
      <c r="K62" s="67">
        <v>5003</v>
      </c>
      <c r="L62" s="145">
        <f t="shared" si="7"/>
        <v>0</v>
      </c>
      <c r="M62" s="17" t="s">
        <v>12</v>
      </c>
      <c r="N62" s="106"/>
      <c r="O62" s="80" t="s">
        <v>24</v>
      </c>
      <c r="P62" s="100"/>
      <c r="R62" s="100"/>
    </row>
    <row r="63" spans="1:18" s="1" customFormat="1" ht="13.5" customHeight="1" x14ac:dyDescent="0.25">
      <c r="A63" s="17" t="s">
        <v>201</v>
      </c>
      <c r="B63" s="162">
        <f t="shared" ca="1" si="1"/>
        <v>46114</v>
      </c>
      <c r="C63" s="162"/>
      <c r="D63" s="163">
        <f t="shared" ca="1" si="4"/>
        <v>13</v>
      </c>
      <c r="E63" s="88">
        <v>46101</v>
      </c>
      <c r="F63" s="17" t="s">
        <v>794</v>
      </c>
      <c r="G63" s="17" t="s">
        <v>7</v>
      </c>
      <c r="H63" s="99"/>
      <c r="I63" s="99">
        <v>7439</v>
      </c>
      <c r="J63" s="99"/>
      <c r="K63" s="67"/>
      <c r="L63" s="145">
        <f t="shared" si="7"/>
        <v>7439</v>
      </c>
      <c r="M63" s="17" t="s">
        <v>12</v>
      </c>
      <c r="N63" s="106"/>
      <c r="O63" s="80" t="s">
        <v>24</v>
      </c>
      <c r="P63" s="100"/>
      <c r="R63" s="100"/>
    </row>
    <row r="64" spans="1:18" s="1" customFormat="1" ht="13.5" customHeight="1" x14ac:dyDescent="0.25">
      <c r="A64" s="17" t="s">
        <v>60</v>
      </c>
      <c r="B64" s="162">
        <f t="shared" ca="1" si="1"/>
        <v>46114</v>
      </c>
      <c r="C64" s="162"/>
      <c r="D64" s="163">
        <f t="shared" ca="1" si="4"/>
        <v>13</v>
      </c>
      <c r="E64" s="88">
        <v>46101</v>
      </c>
      <c r="F64" s="17" t="s">
        <v>795</v>
      </c>
      <c r="G64" s="17" t="s">
        <v>7</v>
      </c>
      <c r="H64" s="99"/>
      <c r="I64" s="99">
        <v>25167</v>
      </c>
      <c r="J64" s="99"/>
      <c r="K64" s="67"/>
      <c r="L64" s="145">
        <f t="shared" si="7"/>
        <v>25167</v>
      </c>
      <c r="M64" s="17" t="s">
        <v>12</v>
      </c>
      <c r="N64" s="106"/>
      <c r="O64" s="80" t="s">
        <v>24</v>
      </c>
      <c r="P64" s="100"/>
      <c r="R64" s="100"/>
    </row>
    <row r="65" spans="1:18" s="1" customFormat="1" ht="13.5" customHeight="1" x14ac:dyDescent="0.25">
      <c r="A65" s="17" t="s">
        <v>19</v>
      </c>
      <c r="B65" s="162">
        <f t="shared" ca="1" si="1"/>
        <v>46114</v>
      </c>
      <c r="C65" s="162"/>
      <c r="D65" s="163">
        <f t="shared" ca="1" si="4"/>
        <v>13</v>
      </c>
      <c r="E65" s="88">
        <v>46101</v>
      </c>
      <c r="F65" s="17" t="s">
        <v>816</v>
      </c>
      <c r="G65" s="17" t="s">
        <v>7</v>
      </c>
      <c r="H65" s="99"/>
      <c r="I65" s="99">
        <v>6099</v>
      </c>
      <c r="J65" s="99"/>
      <c r="K65" s="67"/>
      <c r="L65" s="145">
        <f t="shared" si="7"/>
        <v>6099</v>
      </c>
      <c r="M65" s="17" t="s">
        <v>12</v>
      </c>
      <c r="N65" s="106"/>
      <c r="O65" s="80" t="s">
        <v>24</v>
      </c>
      <c r="P65" s="100"/>
      <c r="R65" s="100"/>
    </row>
    <row r="66" spans="1:18" s="1" customFormat="1" ht="13.5" customHeight="1" x14ac:dyDescent="0.25">
      <c r="A66" s="17" t="s">
        <v>520</v>
      </c>
      <c r="B66" s="162">
        <f t="shared" ca="1" si="1"/>
        <v>46114</v>
      </c>
      <c r="C66" s="162"/>
      <c r="D66" s="163">
        <f t="shared" ca="1" si="4"/>
        <v>13</v>
      </c>
      <c r="E66" s="88">
        <v>46101</v>
      </c>
      <c r="F66" s="17" t="s">
        <v>817</v>
      </c>
      <c r="G66" s="17" t="s">
        <v>7</v>
      </c>
      <c r="H66" s="99"/>
      <c r="I66" s="99">
        <v>3588</v>
      </c>
      <c r="J66" s="99"/>
      <c r="K66" s="67"/>
      <c r="L66" s="145">
        <f t="shared" si="7"/>
        <v>3588</v>
      </c>
      <c r="M66" s="17" t="s">
        <v>12</v>
      </c>
      <c r="N66" s="106"/>
      <c r="O66" s="80" t="s">
        <v>24</v>
      </c>
      <c r="P66" s="100"/>
      <c r="R66" s="100"/>
    </row>
    <row r="67" spans="1:18" s="1" customFormat="1" ht="13.5" customHeight="1" x14ac:dyDescent="0.25">
      <c r="A67" s="17" t="s">
        <v>206</v>
      </c>
      <c r="B67" s="162">
        <f t="shared" ref="B67:B130" ca="1" si="8">TODAY()</f>
        <v>46114</v>
      </c>
      <c r="C67" s="162"/>
      <c r="D67" s="163">
        <f t="shared" ca="1" si="4"/>
        <v>13</v>
      </c>
      <c r="E67" s="88">
        <v>46101</v>
      </c>
      <c r="F67" s="17" t="s">
        <v>818</v>
      </c>
      <c r="G67" s="17" t="s">
        <v>7</v>
      </c>
      <c r="H67" s="99"/>
      <c r="I67" s="99">
        <v>4704</v>
      </c>
      <c r="J67" s="99"/>
      <c r="K67" s="67"/>
      <c r="L67" s="145">
        <f t="shared" si="7"/>
        <v>4704</v>
      </c>
      <c r="M67" s="17" t="s">
        <v>12</v>
      </c>
      <c r="N67" s="106"/>
      <c r="O67" s="80" t="s">
        <v>24</v>
      </c>
      <c r="P67" s="100"/>
      <c r="R67" s="100"/>
    </row>
    <row r="68" spans="1:18" s="1" customFormat="1" ht="13.5" customHeight="1" x14ac:dyDescent="0.25">
      <c r="A68" s="17" t="s">
        <v>819</v>
      </c>
      <c r="B68" s="162">
        <f t="shared" ca="1" si="8"/>
        <v>46114</v>
      </c>
      <c r="C68" s="162"/>
      <c r="D68" s="163">
        <f t="shared" ca="1" si="4"/>
        <v>13</v>
      </c>
      <c r="E68" s="88">
        <v>46101</v>
      </c>
      <c r="F68" s="17" t="s">
        <v>820</v>
      </c>
      <c r="G68" s="17" t="s">
        <v>7</v>
      </c>
      <c r="H68" s="99"/>
      <c r="I68" s="99">
        <v>12974</v>
      </c>
      <c r="J68" s="99"/>
      <c r="K68" s="67">
        <v>12974</v>
      </c>
      <c r="L68" s="145">
        <f t="shared" si="7"/>
        <v>0</v>
      </c>
      <c r="M68" s="17" t="s">
        <v>12</v>
      </c>
      <c r="N68" s="106"/>
      <c r="O68" s="80" t="s">
        <v>24</v>
      </c>
      <c r="P68" s="100"/>
      <c r="R68" s="100"/>
    </row>
    <row r="69" spans="1:18" s="1" customFormat="1" ht="13.5" customHeight="1" x14ac:dyDescent="0.25">
      <c r="A69" s="17" t="s">
        <v>618</v>
      </c>
      <c r="B69" s="162">
        <f t="shared" ca="1" si="8"/>
        <v>46114</v>
      </c>
      <c r="C69" s="162"/>
      <c r="D69" s="163">
        <f t="shared" ca="1" si="4"/>
        <v>13</v>
      </c>
      <c r="E69" s="88">
        <v>46101</v>
      </c>
      <c r="F69" s="17" t="s">
        <v>821</v>
      </c>
      <c r="G69" s="17" t="s">
        <v>7</v>
      </c>
      <c r="H69" s="99"/>
      <c r="I69" s="99">
        <v>7309</v>
      </c>
      <c r="J69" s="99"/>
      <c r="K69" s="67">
        <v>7309</v>
      </c>
      <c r="L69" s="145">
        <f t="shared" si="7"/>
        <v>0</v>
      </c>
      <c r="M69" s="17" t="s">
        <v>12</v>
      </c>
      <c r="N69" s="106"/>
      <c r="O69" s="80" t="s">
        <v>24</v>
      </c>
      <c r="P69" s="100"/>
      <c r="R69" s="100"/>
    </row>
    <row r="70" spans="1:18" s="1" customFormat="1" ht="13.5" customHeight="1" x14ac:dyDescent="0.25">
      <c r="A70" s="17" t="s">
        <v>29</v>
      </c>
      <c r="B70" s="162">
        <f t="shared" ca="1" si="8"/>
        <v>46114</v>
      </c>
      <c r="C70" s="162"/>
      <c r="D70" s="163">
        <f t="shared" ca="1" si="4"/>
        <v>13</v>
      </c>
      <c r="E70" s="88">
        <v>46101</v>
      </c>
      <c r="F70" s="17" t="s">
        <v>822</v>
      </c>
      <c r="G70" s="17" t="s">
        <v>7</v>
      </c>
      <c r="H70" s="99"/>
      <c r="I70" s="99">
        <v>16659</v>
      </c>
      <c r="J70" s="99"/>
      <c r="K70" s="67"/>
      <c r="L70" s="145">
        <f t="shared" si="7"/>
        <v>16659</v>
      </c>
      <c r="M70" s="17" t="s">
        <v>12</v>
      </c>
      <c r="N70" s="106"/>
      <c r="O70" s="80" t="s">
        <v>24</v>
      </c>
      <c r="P70" s="100"/>
      <c r="R70" s="100"/>
    </row>
    <row r="71" spans="1:18" s="1" customFormat="1" ht="13.5" customHeight="1" x14ac:dyDescent="0.25">
      <c r="A71" s="17" t="s">
        <v>823</v>
      </c>
      <c r="B71" s="162">
        <f t="shared" ca="1" si="8"/>
        <v>46114</v>
      </c>
      <c r="C71" s="162"/>
      <c r="D71" s="163">
        <f t="shared" ca="1" si="4"/>
        <v>13</v>
      </c>
      <c r="E71" s="88">
        <v>46101</v>
      </c>
      <c r="F71" s="17" t="s">
        <v>824</v>
      </c>
      <c r="G71" s="17" t="s">
        <v>92</v>
      </c>
      <c r="H71" s="99"/>
      <c r="I71" s="99">
        <v>26550</v>
      </c>
      <c r="J71" s="99">
        <v>6550</v>
      </c>
      <c r="K71" s="67">
        <v>20000</v>
      </c>
      <c r="L71" s="145">
        <f t="shared" si="7"/>
        <v>0</v>
      </c>
      <c r="M71" s="17" t="s">
        <v>12</v>
      </c>
      <c r="N71" s="106"/>
      <c r="O71" s="80" t="s">
        <v>26</v>
      </c>
      <c r="P71" s="100"/>
      <c r="R71" s="100"/>
    </row>
    <row r="72" spans="1:18" s="1" customFormat="1" ht="13.5" customHeight="1" x14ac:dyDescent="0.25">
      <c r="A72" s="155" t="s">
        <v>258</v>
      </c>
      <c r="B72" s="162">
        <f t="shared" ca="1" si="8"/>
        <v>46114</v>
      </c>
      <c r="C72" s="162"/>
      <c r="D72" s="163">
        <f t="shared" ca="1" si="4"/>
        <v>12</v>
      </c>
      <c r="E72" s="88">
        <v>46102</v>
      </c>
      <c r="F72" s="88" t="s">
        <v>839</v>
      </c>
      <c r="G72" s="155" t="s">
        <v>770</v>
      </c>
      <c r="H72" s="99"/>
      <c r="I72" s="99">
        <v>9200</v>
      </c>
      <c r="J72" s="99"/>
      <c r="K72" s="67"/>
      <c r="L72" s="145">
        <f t="shared" si="7"/>
        <v>9200</v>
      </c>
      <c r="M72" s="17" t="s">
        <v>12</v>
      </c>
      <c r="N72" s="106"/>
      <c r="O72" s="80"/>
      <c r="P72" s="100"/>
      <c r="R72" s="100"/>
    </row>
    <row r="73" spans="1:18" s="1" customFormat="1" ht="13.5" customHeight="1" x14ac:dyDescent="0.25">
      <c r="A73" s="155" t="s">
        <v>687</v>
      </c>
      <c r="B73" s="162">
        <f t="shared" ca="1" si="8"/>
        <v>46114</v>
      </c>
      <c r="C73" s="162"/>
      <c r="D73" s="163">
        <f t="shared" ca="1" si="4"/>
        <v>12</v>
      </c>
      <c r="E73" s="88">
        <v>46102</v>
      </c>
      <c r="F73" s="88" t="s">
        <v>840</v>
      </c>
      <c r="G73" s="155" t="s">
        <v>770</v>
      </c>
      <c r="H73" s="99"/>
      <c r="I73" s="99">
        <v>35142</v>
      </c>
      <c r="J73" s="99"/>
      <c r="K73" s="67"/>
      <c r="L73" s="145">
        <f t="shared" si="7"/>
        <v>35142</v>
      </c>
      <c r="M73" s="17" t="s">
        <v>12</v>
      </c>
      <c r="N73" s="106"/>
      <c r="O73" s="80"/>
      <c r="P73" s="100"/>
      <c r="R73" s="100"/>
    </row>
    <row r="74" spans="1:18" s="1" customFormat="1" ht="13.5" customHeight="1" x14ac:dyDescent="0.25">
      <c r="A74" s="155" t="s">
        <v>324</v>
      </c>
      <c r="B74" s="162">
        <f t="shared" ca="1" si="8"/>
        <v>46114</v>
      </c>
      <c r="C74" s="162"/>
      <c r="D74" s="163">
        <f t="shared" ca="1" si="4"/>
        <v>12</v>
      </c>
      <c r="E74" s="88">
        <v>46102</v>
      </c>
      <c r="F74" s="88" t="s">
        <v>841</v>
      </c>
      <c r="G74" s="155" t="s">
        <v>770</v>
      </c>
      <c r="H74" s="99"/>
      <c r="I74" s="99">
        <v>3820</v>
      </c>
      <c r="J74" s="99"/>
      <c r="K74" s="67"/>
      <c r="L74" s="145">
        <f t="shared" si="7"/>
        <v>3820</v>
      </c>
      <c r="M74" s="17" t="s">
        <v>12</v>
      </c>
      <c r="N74" s="106"/>
      <c r="O74" s="80"/>
      <c r="P74" s="100"/>
      <c r="R74" s="100"/>
    </row>
    <row r="75" spans="1:18" s="1" customFormat="1" ht="13.5" customHeight="1" x14ac:dyDescent="0.25">
      <c r="A75" s="155" t="s">
        <v>842</v>
      </c>
      <c r="B75" s="162">
        <f t="shared" ca="1" si="8"/>
        <v>46114</v>
      </c>
      <c r="C75" s="162"/>
      <c r="D75" s="163">
        <f t="shared" ca="1" si="4"/>
        <v>9</v>
      </c>
      <c r="E75" s="88">
        <v>46105</v>
      </c>
      <c r="F75" s="88" t="s">
        <v>843</v>
      </c>
      <c r="G75" s="155" t="s">
        <v>34</v>
      </c>
      <c r="H75" s="99"/>
      <c r="I75" s="99">
        <v>5310</v>
      </c>
      <c r="J75" s="99"/>
      <c r="K75" s="67"/>
      <c r="L75" s="145">
        <f t="shared" si="7"/>
        <v>5310</v>
      </c>
      <c r="M75" s="17" t="s">
        <v>12</v>
      </c>
      <c r="N75" s="106"/>
      <c r="O75" s="80"/>
      <c r="P75" s="100"/>
      <c r="R75" s="100"/>
    </row>
    <row r="76" spans="1:18" s="1" customFormat="1" ht="13.5" customHeight="1" x14ac:dyDescent="0.25">
      <c r="A76" s="155" t="s">
        <v>844</v>
      </c>
      <c r="B76" s="162">
        <f t="shared" ca="1" si="8"/>
        <v>46114</v>
      </c>
      <c r="C76" s="162"/>
      <c r="D76" s="163">
        <f t="shared" ca="1" si="4"/>
        <v>9</v>
      </c>
      <c r="E76" s="88">
        <v>46105</v>
      </c>
      <c r="F76" s="88" t="s">
        <v>845</v>
      </c>
      <c r="G76" s="155" t="s">
        <v>34</v>
      </c>
      <c r="H76" s="99"/>
      <c r="I76" s="99">
        <v>5310</v>
      </c>
      <c r="J76" s="99"/>
      <c r="K76" s="67"/>
      <c r="L76" s="145">
        <f t="shared" si="7"/>
        <v>5310</v>
      </c>
      <c r="M76" s="17" t="s">
        <v>12</v>
      </c>
      <c r="N76" s="106"/>
      <c r="O76" s="80"/>
      <c r="P76" s="100"/>
      <c r="R76" s="100"/>
    </row>
    <row r="77" spans="1:18" s="1" customFormat="1" ht="13.5" customHeight="1" x14ac:dyDescent="0.25">
      <c r="A77" s="155" t="s">
        <v>222</v>
      </c>
      <c r="B77" s="162">
        <f t="shared" ca="1" si="8"/>
        <v>46114</v>
      </c>
      <c r="C77" s="162"/>
      <c r="D77" s="163">
        <f t="shared" ca="1" si="4"/>
        <v>8</v>
      </c>
      <c r="E77" s="88">
        <v>46106</v>
      </c>
      <c r="F77" s="88" t="s">
        <v>846</v>
      </c>
      <c r="G77" s="155" t="s">
        <v>22</v>
      </c>
      <c r="H77" s="99"/>
      <c r="I77" s="99">
        <v>47200</v>
      </c>
      <c r="J77" s="99"/>
      <c r="K77" s="67"/>
      <c r="L77" s="145">
        <f t="shared" si="7"/>
        <v>47200</v>
      </c>
      <c r="M77" s="17" t="s">
        <v>12</v>
      </c>
      <c r="N77" s="106"/>
      <c r="O77" s="80"/>
      <c r="P77" s="100"/>
      <c r="R77" s="100"/>
    </row>
    <row r="78" spans="1:18" s="1" customFormat="1" ht="13.5" customHeight="1" x14ac:dyDescent="0.25">
      <c r="A78" s="155" t="s">
        <v>258</v>
      </c>
      <c r="B78" s="162">
        <f t="shared" ca="1" si="8"/>
        <v>46114</v>
      </c>
      <c r="C78" s="162"/>
      <c r="D78" s="163">
        <f t="shared" ref="D78:D93" ca="1" si="9">B78-E78</f>
        <v>8</v>
      </c>
      <c r="E78" s="88">
        <v>46106</v>
      </c>
      <c r="F78" s="88" t="s">
        <v>847</v>
      </c>
      <c r="G78" s="155" t="s">
        <v>22</v>
      </c>
      <c r="H78" s="99"/>
      <c r="I78" s="99">
        <v>6123</v>
      </c>
      <c r="J78" s="99"/>
      <c r="K78" s="67"/>
      <c r="L78" s="145">
        <f t="shared" ref="L78:L93" si="10">+H78+I78-K78-J78</f>
        <v>6123</v>
      </c>
      <c r="M78" s="17" t="s">
        <v>12</v>
      </c>
      <c r="N78" s="106"/>
      <c r="O78" s="80"/>
      <c r="P78" s="100"/>
      <c r="R78" s="100"/>
    </row>
    <row r="79" spans="1:18" s="1" customFormat="1" ht="13.5" customHeight="1" x14ac:dyDescent="0.25">
      <c r="A79" s="155" t="s">
        <v>711</v>
      </c>
      <c r="B79" s="162">
        <f t="shared" ca="1" si="8"/>
        <v>46114</v>
      </c>
      <c r="C79" s="162"/>
      <c r="D79" s="163">
        <f t="shared" ca="1" si="9"/>
        <v>7</v>
      </c>
      <c r="E79" s="88">
        <v>46107</v>
      </c>
      <c r="F79" s="88" t="s">
        <v>848</v>
      </c>
      <c r="G79" s="155" t="s">
        <v>23</v>
      </c>
      <c r="H79" s="99"/>
      <c r="I79" s="99">
        <v>15930</v>
      </c>
      <c r="J79" s="99"/>
      <c r="K79" s="67">
        <v>15930</v>
      </c>
      <c r="L79" s="145">
        <f t="shared" si="10"/>
        <v>0</v>
      </c>
      <c r="M79" s="17" t="s">
        <v>12</v>
      </c>
      <c r="N79" s="106"/>
      <c r="O79" s="80"/>
      <c r="P79" s="100"/>
      <c r="R79" s="100"/>
    </row>
    <row r="80" spans="1:18" s="1" customFormat="1" ht="13.5" customHeight="1" x14ac:dyDescent="0.25">
      <c r="A80" s="155" t="s">
        <v>773</v>
      </c>
      <c r="B80" s="162">
        <f t="shared" ca="1" si="8"/>
        <v>46114</v>
      </c>
      <c r="C80" s="162"/>
      <c r="D80" s="163">
        <f t="shared" ca="1" si="9"/>
        <v>7</v>
      </c>
      <c r="E80" s="88">
        <v>46107</v>
      </c>
      <c r="F80" s="88" t="s">
        <v>849</v>
      </c>
      <c r="G80" s="155" t="s">
        <v>34</v>
      </c>
      <c r="H80" s="99"/>
      <c r="I80" s="99">
        <v>5310</v>
      </c>
      <c r="J80" s="99"/>
      <c r="K80" s="67">
        <v>5310</v>
      </c>
      <c r="L80" s="145">
        <f t="shared" si="10"/>
        <v>0</v>
      </c>
      <c r="M80" s="17" t="s">
        <v>12</v>
      </c>
      <c r="N80" s="106"/>
      <c r="O80" s="80"/>
      <c r="P80" s="100"/>
      <c r="R80" s="100"/>
    </row>
    <row r="81" spans="1:18" s="1" customFormat="1" ht="13.5" customHeight="1" x14ac:dyDescent="0.25">
      <c r="A81" s="155" t="s">
        <v>850</v>
      </c>
      <c r="B81" s="162">
        <f t="shared" ca="1" si="8"/>
        <v>46114</v>
      </c>
      <c r="C81" s="162"/>
      <c r="D81" s="163">
        <f t="shared" ca="1" si="9"/>
        <v>7</v>
      </c>
      <c r="E81" s="88">
        <v>46107</v>
      </c>
      <c r="F81" s="88" t="s">
        <v>851</v>
      </c>
      <c r="G81" s="155" t="s">
        <v>137</v>
      </c>
      <c r="H81" s="99"/>
      <c r="I81" s="99">
        <v>1628</v>
      </c>
      <c r="J81" s="99"/>
      <c r="K81" s="67"/>
      <c r="L81" s="145">
        <f t="shared" si="10"/>
        <v>1628</v>
      </c>
      <c r="M81" s="17" t="s">
        <v>12</v>
      </c>
      <c r="N81" s="106"/>
      <c r="O81" s="80"/>
      <c r="P81" s="100"/>
      <c r="R81" s="100"/>
    </row>
    <row r="82" spans="1:18" s="1" customFormat="1" ht="13.5" customHeight="1" x14ac:dyDescent="0.25">
      <c r="A82" s="155" t="s">
        <v>646</v>
      </c>
      <c r="B82" s="162">
        <f t="shared" ca="1" si="8"/>
        <v>46114</v>
      </c>
      <c r="C82" s="162"/>
      <c r="D82" s="163">
        <f t="shared" ca="1" si="9"/>
        <v>7</v>
      </c>
      <c r="E82" s="88">
        <v>46107</v>
      </c>
      <c r="F82" s="88" t="s">
        <v>852</v>
      </c>
      <c r="G82" s="155" t="s">
        <v>34</v>
      </c>
      <c r="H82" s="99"/>
      <c r="I82" s="99">
        <v>9558</v>
      </c>
      <c r="J82" s="99"/>
      <c r="K82" s="67">
        <v>9558</v>
      </c>
      <c r="L82" s="145">
        <f t="shared" si="10"/>
        <v>0</v>
      </c>
      <c r="M82" s="17" t="s">
        <v>12</v>
      </c>
      <c r="N82" s="106"/>
      <c r="O82" s="80"/>
      <c r="P82" s="100"/>
      <c r="R82" s="100"/>
    </row>
    <row r="83" spans="1:18" s="1" customFormat="1" ht="13.5" customHeight="1" x14ac:dyDescent="0.25">
      <c r="A83" s="155" t="s">
        <v>853</v>
      </c>
      <c r="B83" s="162">
        <f t="shared" ca="1" si="8"/>
        <v>46114</v>
      </c>
      <c r="C83" s="162"/>
      <c r="D83" s="163">
        <f t="shared" ca="1" si="9"/>
        <v>7</v>
      </c>
      <c r="E83" s="88">
        <v>46107</v>
      </c>
      <c r="F83" s="88" t="s">
        <v>854</v>
      </c>
      <c r="G83" s="155" t="s">
        <v>706</v>
      </c>
      <c r="H83" s="99"/>
      <c r="I83" s="99">
        <v>7965</v>
      </c>
      <c r="J83" s="99"/>
      <c r="K83" s="67">
        <v>7965</v>
      </c>
      <c r="L83" s="145">
        <f t="shared" si="10"/>
        <v>0</v>
      </c>
      <c r="M83" s="17" t="s">
        <v>12</v>
      </c>
      <c r="N83" s="106"/>
      <c r="O83" s="80"/>
      <c r="P83" s="100"/>
      <c r="R83" s="100"/>
    </row>
    <row r="84" spans="1:18" s="1" customFormat="1" ht="13.5" customHeight="1" x14ac:dyDescent="0.25">
      <c r="A84" s="155" t="s">
        <v>350</v>
      </c>
      <c r="B84" s="162">
        <f t="shared" ca="1" si="8"/>
        <v>46114</v>
      </c>
      <c r="C84" s="162"/>
      <c r="D84" s="163">
        <f t="shared" ca="1" si="9"/>
        <v>7</v>
      </c>
      <c r="E84" s="88">
        <v>46107</v>
      </c>
      <c r="F84" s="88" t="s">
        <v>855</v>
      </c>
      <c r="G84" s="155" t="s">
        <v>34</v>
      </c>
      <c r="H84" s="99"/>
      <c r="I84" s="99">
        <v>9558</v>
      </c>
      <c r="J84" s="99"/>
      <c r="K84" s="67"/>
      <c r="L84" s="145">
        <f t="shared" si="10"/>
        <v>9558</v>
      </c>
      <c r="M84" s="17" t="s">
        <v>12</v>
      </c>
      <c r="N84" s="106"/>
      <c r="O84" s="80"/>
      <c r="P84" s="100"/>
      <c r="R84" s="100"/>
    </row>
    <row r="85" spans="1:18" s="1" customFormat="1" ht="13.5" customHeight="1" x14ac:dyDescent="0.25">
      <c r="A85" s="155" t="s">
        <v>856</v>
      </c>
      <c r="B85" s="162">
        <f t="shared" ca="1" si="8"/>
        <v>46114</v>
      </c>
      <c r="C85" s="162"/>
      <c r="D85" s="163">
        <f t="shared" ca="1" si="9"/>
        <v>7</v>
      </c>
      <c r="E85" s="88">
        <v>46107</v>
      </c>
      <c r="F85" s="88" t="s">
        <v>857</v>
      </c>
      <c r="G85" s="155" t="s">
        <v>34</v>
      </c>
      <c r="H85" s="99"/>
      <c r="I85" s="99">
        <v>5310</v>
      </c>
      <c r="J85" s="99"/>
      <c r="K85" s="67">
        <v>5310</v>
      </c>
      <c r="L85" s="145">
        <f t="shared" si="10"/>
        <v>0</v>
      </c>
      <c r="M85" s="17" t="s">
        <v>12</v>
      </c>
      <c r="N85" s="106"/>
      <c r="O85" s="80"/>
      <c r="P85" s="100"/>
      <c r="R85" s="100"/>
    </row>
    <row r="86" spans="1:18" s="1" customFormat="1" ht="13.5" customHeight="1" x14ac:dyDescent="0.25">
      <c r="A86" s="155" t="s">
        <v>858</v>
      </c>
      <c r="B86" s="162">
        <f t="shared" ca="1" si="8"/>
        <v>46114</v>
      </c>
      <c r="C86" s="162"/>
      <c r="D86" s="163">
        <f t="shared" ca="1" si="9"/>
        <v>7</v>
      </c>
      <c r="E86" s="88">
        <v>46107</v>
      </c>
      <c r="F86" s="88" t="s">
        <v>859</v>
      </c>
      <c r="G86" s="155" t="s">
        <v>34</v>
      </c>
      <c r="H86" s="99"/>
      <c r="I86" s="99">
        <v>5310</v>
      </c>
      <c r="J86" s="99"/>
      <c r="K86" s="67">
        <v>5310</v>
      </c>
      <c r="L86" s="145">
        <f t="shared" si="10"/>
        <v>0</v>
      </c>
      <c r="M86" s="17" t="s">
        <v>12</v>
      </c>
      <c r="N86" s="106"/>
      <c r="O86" s="80"/>
      <c r="P86" s="100"/>
      <c r="R86" s="100"/>
    </row>
    <row r="87" spans="1:18" s="1" customFormat="1" ht="13.5" customHeight="1" x14ac:dyDescent="0.25">
      <c r="A87" s="155" t="s">
        <v>860</v>
      </c>
      <c r="B87" s="162">
        <f t="shared" ca="1" si="8"/>
        <v>46114</v>
      </c>
      <c r="C87" s="162"/>
      <c r="D87" s="163">
        <f t="shared" ca="1" si="9"/>
        <v>7</v>
      </c>
      <c r="E87" s="88">
        <v>46107</v>
      </c>
      <c r="F87" s="88" t="s">
        <v>861</v>
      </c>
      <c r="G87" s="155" t="s">
        <v>34</v>
      </c>
      <c r="H87" s="99"/>
      <c r="I87" s="99">
        <v>5310</v>
      </c>
      <c r="J87" s="99"/>
      <c r="K87" s="67"/>
      <c r="L87" s="145">
        <f t="shared" si="10"/>
        <v>5310</v>
      </c>
      <c r="M87" s="17" t="s">
        <v>12</v>
      </c>
      <c r="N87" s="106"/>
      <c r="O87" s="80"/>
      <c r="P87" s="100"/>
      <c r="R87" s="100"/>
    </row>
    <row r="88" spans="1:18" s="1" customFormat="1" ht="13.5" customHeight="1" x14ac:dyDescent="0.25">
      <c r="A88" s="155" t="s">
        <v>268</v>
      </c>
      <c r="B88" s="162">
        <f t="shared" ca="1" si="8"/>
        <v>46114</v>
      </c>
      <c r="C88" s="162"/>
      <c r="D88" s="163">
        <f t="shared" ca="1" si="9"/>
        <v>7</v>
      </c>
      <c r="E88" s="88">
        <v>46107</v>
      </c>
      <c r="F88" s="88" t="s">
        <v>862</v>
      </c>
      <c r="G88" s="155" t="s">
        <v>23</v>
      </c>
      <c r="H88" s="99"/>
      <c r="I88" s="99">
        <v>28674</v>
      </c>
      <c r="J88" s="99"/>
      <c r="K88" s="67"/>
      <c r="L88" s="145">
        <f t="shared" si="10"/>
        <v>28674</v>
      </c>
      <c r="M88" s="17" t="s">
        <v>12</v>
      </c>
      <c r="N88" s="106"/>
      <c r="O88" s="80"/>
      <c r="P88" s="100"/>
      <c r="R88" s="100"/>
    </row>
    <row r="89" spans="1:18" s="1" customFormat="1" ht="13.5" customHeight="1" x14ac:dyDescent="0.25">
      <c r="A89" s="155" t="s">
        <v>863</v>
      </c>
      <c r="B89" s="162">
        <f t="shared" ca="1" si="8"/>
        <v>46114</v>
      </c>
      <c r="C89" s="162"/>
      <c r="D89" s="163">
        <f t="shared" ca="1" si="9"/>
        <v>7</v>
      </c>
      <c r="E89" s="88">
        <v>46107</v>
      </c>
      <c r="F89" s="88" t="s">
        <v>864</v>
      </c>
      <c r="G89" s="155" t="s">
        <v>34</v>
      </c>
      <c r="H89" s="99"/>
      <c r="I89" s="99">
        <v>9558</v>
      </c>
      <c r="J89" s="99"/>
      <c r="K89" s="67"/>
      <c r="L89" s="145">
        <f t="shared" si="10"/>
        <v>9558</v>
      </c>
      <c r="M89" s="17" t="s">
        <v>12</v>
      </c>
      <c r="N89" s="106"/>
      <c r="O89" s="80"/>
      <c r="P89" s="100"/>
      <c r="R89" s="100"/>
    </row>
    <row r="90" spans="1:18" s="1" customFormat="1" ht="13.5" customHeight="1" x14ac:dyDescent="0.25">
      <c r="A90" s="155" t="s">
        <v>865</v>
      </c>
      <c r="B90" s="162">
        <f t="shared" ca="1" si="8"/>
        <v>46114</v>
      </c>
      <c r="C90" s="162"/>
      <c r="D90" s="163">
        <f t="shared" ca="1" si="9"/>
        <v>7</v>
      </c>
      <c r="E90" s="88">
        <v>46107</v>
      </c>
      <c r="F90" s="88" t="s">
        <v>866</v>
      </c>
      <c r="G90" s="155" t="s">
        <v>34</v>
      </c>
      <c r="H90" s="99"/>
      <c r="I90" s="99">
        <v>5310</v>
      </c>
      <c r="J90" s="99"/>
      <c r="K90" s="67"/>
      <c r="L90" s="145">
        <f t="shared" si="10"/>
        <v>5310</v>
      </c>
      <c r="M90" s="17" t="s">
        <v>12</v>
      </c>
      <c r="N90" s="106"/>
      <c r="O90" s="80"/>
      <c r="P90" s="100"/>
      <c r="R90" s="100"/>
    </row>
    <row r="91" spans="1:18" s="1" customFormat="1" ht="13.5" customHeight="1" x14ac:dyDescent="0.25">
      <c r="A91" s="155" t="s">
        <v>867</v>
      </c>
      <c r="B91" s="162">
        <f t="shared" ca="1" si="8"/>
        <v>46114</v>
      </c>
      <c r="C91" s="162"/>
      <c r="D91" s="163">
        <f t="shared" ca="1" si="9"/>
        <v>6</v>
      </c>
      <c r="E91" s="88">
        <v>46108</v>
      </c>
      <c r="F91" s="88" t="s">
        <v>868</v>
      </c>
      <c r="G91" s="155" t="s">
        <v>34</v>
      </c>
      <c r="H91" s="99"/>
      <c r="I91" s="99">
        <v>9558</v>
      </c>
      <c r="J91" s="99"/>
      <c r="K91" s="67">
        <v>9558</v>
      </c>
      <c r="L91" s="145">
        <f t="shared" si="10"/>
        <v>0</v>
      </c>
      <c r="M91" s="17" t="s">
        <v>12</v>
      </c>
      <c r="N91" s="106"/>
      <c r="O91" s="80"/>
      <c r="P91" s="100"/>
      <c r="R91" s="100"/>
    </row>
    <row r="92" spans="1:18" s="1" customFormat="1" ht="13.5" customHeight="1" x14ac:dyDescent="0.25">
      <c r="A92" s="155" t="s">
        <v>869</v>
      </c>
      <c r="B92" s="162">
        <f t="shared" ca="1" si="8"/>
        <v>46114</v>
      </c>
      <c r="C92" s="162"/>
      <c r="D92" s="163">
        <f t="shared" ca="1" si="9"/>
        <v>6</v>
      </c>
      <c r="E92" s="88">
        <v>46108</v>
      </c>
      <c r="F92" s="88" t="s">
        <v>870</v>
      </c>
      <c r="G92" s="155" t="s">
        <v>23</v>
      </c>
      <c r="H92" s="99"/>
      <c r="I92" s="99">
        <v>11948</v>
      </c>
      <c r="J92" s="99"/>
      <c r="K92" s="67"/>
      <c r="L92" s="145">
        <f t="shared" si="10"/>
        <v>11948</v>
      </c>
      <c r="M92" s="17" t="s">
        <v>12</v>
      </c>
      <c r="N92" s="106"/>
      <c r="O92" s="80"/>
      <c r="P92" s="100"/>
      <c r="R92" s="100"/>
    </row>
    <row r="93" spans="1:18" s="1" customFormat="1" ht="13.5" customHeight="1" x14ac:dyDescent="0.25">
      <c r="A93" s="155" t="s">
        <v>871</v>
      </c>
      <c r="B93" s="162">
        <f t="shared" ca="1" si="8"/>
        <v>46114</v>
      </c>
      <c r="C93" s="162"/>
      <c r="D93" s="163">
        <f t="shared" ca="1" si="9"/>
        <v>6</v>
      </c>
      <c r="E93" s="88">
        <v>46108</v>
      </c>
      <c r="F93" s="88" t="s">
        <v>872</v>
      </c>
      <c r="G93" s="155" t="s">
        <v>92</v>
      </c>
      <c r="H93" s="99"/>
      <c r="I93" s="99">
        <v>26550</v>
      </c>
      <c r="J93" s="99"/>
      <c r="K93" s="67"/>
      <c r="L93" s="145">
        <f t="shared" si="10"/>
        <v>26550</v>
      </c>
      <c r="M93" s="17" t="s">
        <v>12</v>
      </c>
      <c r="N93" s="106"/>
      <c r="O93" s="80"/>
      <c r="P93" s="100"/>
      <c r="R93" s="100"/>
    </row>
    <row r="94" spans="1:18" s="2" customFormat="1" ht="14.1" customHeight="1" x14ac:dyDescent="0.25">
      <c r="A94" s="19"/>
      <c r="B94" s="162">
        <f t="shared" ca="1" si="8"/>
        <v>46114</v>
      </c>
      <c r="C94" s="162"/>
      <c r="D94" s="19"/>
      <c r="E94" s="20"/>
      <c r="F94" s="19"/>
      <c r="G94" s="19"/>
      <c r="H94" s="69">
        <f>+SUM(H14:H93)</f>
        <v>315911</v>
      </c>
      <c r="I94" s="69">
        <f>+SUM(I14:I93)</f>
        <v>512005</v>
      </c>
      <c r="J94" s="69">
        <f>+SUM(J14:J93)</f>
        <v>6550</v>
      </c>
      <c r="K94" s="69">
        <f>+SUM(K14:K93)</f>
        <v>216585</v>
      </c>
      <c r="L94" s="69">
        <f>+SUM(L14:L93)</f>
        <v>604781</v>
      </c>
      <c r="M94" s="69">
        <f>COUNTIF(L14:L93,"&gt;0")</f>
        <v>58</v>
      </c>
      <c r="N94" s="27"/>
      <c r="O94" s="178" t="s">
        <v>27</v>
      </c>
      <c r="P94" s="160"/>
      <c r="Q94" s="149"/>
      <c r="R94" s="158"/>
    </row>
    <row r="95" spans="1:18" s="2" customFormat="1" ht="14.1" customHeight="1" x14ac:dyDescent="0.25">
      <c r="A95" s="17" t="s">
        <v>559</v>
      </c>
      <c r="B95" s="162">
        <f t="shared" ca="1" si="8"/>
        <v>46114</v>
      </c>
      <c r="C95" s="162"/>
      <c r="D95" s="163">
        <f t="shared" ref="D95:D96" ca="1" si="11">B95-E95</f>
        <v>42</v>
      </c>
      <c r="E95" s="88">
        <v>46072</v>
      </c>
      <c r="F95" s="17" t="s">
        <v>707</v>
      </c>
      <c r="G95" s="17" t="s">
        <v>525</v>
      </c>
      <c r="H95" s="99">
        <v>8260</v>
      </c>
      <c r="I95" s="99"/>
      <c r="J95" s="99"/>
      <c r="K95" s="99"/>
      <c r="L95" s="67">
        <f>+H95+I95-K95-J95</f>
        <v>8260</v>
      </c>
      <c r="M95" s="109" t="s">
        <v>301</v>
      </c>
      <c r="N95" s="106">
        <v>26</v>
      </c>
      <c r="O95" s="80" t="s">
        <v>24</v>
      </c>
      <c r="P95" s="100">
        <v>46098</v>
      </c>
      <c r="Q95" s="1">
        <f>IF(L95=0,0,P95-E95)</f>
        <v>26</v>
      </c>
      <c r="R95" s="7"/>
    </row>
    <row r="96" spans="1:18" s="2" customFormat="1" ht="14.1" customHeight="1" x14ac:dyDescent="0.25">
      <c r="A96" s="17" t="s">
        <v>256</v>
      </c>
      <c r="B96" s="162">
        <f t="shared" ca="1" si="8"/>
        <v>46114</v>
      </c>
      <c r="C96" s="162"/>
      <c r="D96" s="163">
        <f t="shared" ca="1" si="11"/>
        <v>23</v>
      </c>
      <c r="E96" s="88">
        <v>46091</v>
      </c>
      <c r="F96" s="17" t="s">
        <v>744</v>
      </c>
      <c r="G96" s="17" t="s">
        <v>745</v>
      </c>
      <c r="H96" s="99">
        <v>1273</v>
      </c>
      <c r="I96" s="99"/>
      <c r="J96" s="99">
        <v>11</v>
      </c>
      <c r="K96" s="99">
        <v>1262</v>
      </c>
      <c r="L96" s="67">
        <f>+H96+I96-K96-J96</f>
        <v>0</v>
      </c>
      <c r="M96" s="109" t="s">
        <v>301</v>
      </c>
      <c r="N96" s="106">
        <v>7</v>
      </c>
      <c r="O96" s="80" t="s">
        <v>26</v>
      </c>
      <c r="P96" s="100">
        <v>46098</v>
      </c>
      <c r="Q96" s="1">
        <f>IF(L96=0,0,P96-E96)</f>
        <v>0</v>
      </c>
      <c r="R96" s="7"/>
    </row>
    <row r="97" spans="1:18" s="2" customFormat="1" ht="14.1" customHeight="1" x14ac:dyDescent="0.25">
      <c r="A97" s="19"/>
      <c r="B97" s="162">
        <f t="shared" ca="1" si="8"/>
        <v>46114</v>
      </c>
      <c r="C97" s="162"/>
      <c r="D97" s="19"/>
      <c r="E97" s="20"/>
      <c r="F97" s="19"/>
      <c r="G97" s="19"/>
      <c r="H97" s="69">
        <f>+SUM(H95:H96)</f>
        <v>9533</v>
      </c>
      <c r="I97" s="69">
        <f>+SUM(I95:I96)</f>
        <v>0</v>
      </c>
      <c r="J97" s="69">
        <f>+SUM(J95:J96)</f>
        <v>11</v>
      </c>
      <c r="K97" s="69">
        <f>+SUM(K95:K96)</f>
        <v>1262</v>
      </c>
      <c r="L97" s="69">
        <f>+SUM(L95:L96)</f>
        <v>8260</v>
      </c>
      <c r="M97" s="69">
        <f>COUNTIF(L95:L96,"&gt;0")</f>
        <v>1</v>
      </c>
      <c r="N97" s="27"/>
      <c r="O97" s="178" t="s">
        <v>27</v>
      </c>
      <c r="P97" s="7"/>
      <c r="R97" s="158"/>
    </row>
    <row r="98" spans="1:18" s="1" customFormat="1" ht="13.5" customHeight="1" x14ac:dyDescent="0.25">
      <c r="A98" s="17" t="s">
        <v>227</v>
      </c>
      <c r="B98" s="162">
        <f t="shared" ca="1" si="8"/>
        <v>46114</v>
      </c>
      <c r="C98" s="162"/>
      <c r="D98" s="163">
        <f t="shared" ref="D98:D113" ca="1" si="12">B98-E98</f>
        <v>167</v>
      </c>
      <c r="E98" s="88">
        <v>45947</v>
      </c>
      <c r="F98" s="17" t="s">
        <v>452</v>
      </c>
      <c r="G98" s="17" t="s">
        <v>41</v>
      </c>
      <c r="H98" s="99">
        <v>491</v>
      </c>
      <c r="I98" s="99"/>
      <c r="J98" s="99"/>
      <c r="K98" s="67"/>
      <c r="L98" s="67">
        <f t="shared" ref="L98:L113" si="13">+H98+I98-K98-J98</f>
        <v>491</v>
      </c>
      <c r="M98" s="17" t="s">
        <v>9</v>
      </c>
      <c r="N98" s="106">
        <v>151</v>
      </c>
      <c r="O98" s="80" t="s">
        <v>24</v>
      </c>
      <c r="P98" s="100">
        <v>46098</v>
      </c>
      <c r="Q98" s="1">
        <f t="shared" ref="Q98:Q103" si="14">IF(L98=0,0,P98-E98)</f>
        <v>151</v>
      </c>
    </row>
    <row r="99" spans="1:18" s="1" customFormat="1" ht="14.1" customHeight="1" x14ac:dyDescent="0.25">
      <c r="A99" s="17" t="s">
        <v>684</v>
      </c>
      <c r="B99" s="162">
        <f t="shared" ca="1" si="8"/>
        <v>46114</v>
      </c>
      <c r="C99" s="162"/>
      <c r="D99" s="163">
        <f t="shared" ca="1" si="12"/>
        <v>51</v>
      </c>
      <c r="E99" s="88">
        <v>46063</v>
      </c>
      <c r="F99" s="17" t="s">
        <v>685</v>
      </c>
      <c r="G99" s="17" t="s">
        <v>686</v>
      </c>
      <c r="H99" s="99">
        <v>7000</v>
      </c>
      <c r="I99" s="99"/>
      <c r="J99" s="99"/>
      <c r="K99" s="67"/>
      <c r="L99" s="67">
        <f t="shared" si="13"/>
        <v>7000</v>
      </c>
      <c r="M99" s="17" t="s">
        <v>9</v>
      </c>
      <c r="N99" s="106">
        <v>35</v>
      </c>
      <c r="O99" s="80" t="s">
        <v>26</v>
      </c>
      <c r="P99" s="100">
        <v>46098</v>
      </c>
      <c r="Q99" s="1">
        <f t="shared" si="14"/>
        <v>35</v>
      </c>
    </row>
    <row r="100" spans="1:18" s="1" customFormat="1" ht="14.1" customHeight="1" x14ac:dyDescent="0.25">
      <c r="A100" s="17" t="s">
        <v>20</v>
      </c>
      <c r="B100" s="162">
        <f t="shared" ca="1" si="8"/>
        <v>46114</v>
      </c>
      <c r="C100" s="162"/>
      <c r="D100" s="163">
        <f t="shared" ca="1" si="12"/>
        <v>50</v>
      </c>
      <c r="E100" s="88">
        <v>46064</v>
      </c>
      <c r="F100" s="17" t="s">
        <v>696</v>
      </c>
      <c r="G100" s="17" t="s">
        <v>7</v>
      </c>
      <c r="H100" s="99">
        <v>5217</v>
      </c>
      <c r="I100" s="99"/>
      <c r="J100" s="99"/>
      <c r="K100" s="67"/>
      <c r="L100" s="67">
        <f t="shared" si="13"/>
        <v>5217</v>
      </c>
      <c r="M100" s="17" t="s">
        <v>9</v>
      </c>
      <c r="N100" s="106">
        <v>34</v>
      </c>
      <c r="O100" s="80" t="s">
        <v>24</v>
      </c>
      <c r="P100" s="100">
        <v>46098</v>
      </c>
      <c r="Q100" s="1">
        <f t="shared" si="14"/>
        <v>34</v>
      </c>
    </row>
    <row r="101" spans="1:18" s="1" customFormat="1" ht="14.1" customHeight="1" x14ac:dyDescent="0.25">
      <c r="A101" s="17" t="s">
        <v>265</v>
      </c>
      <c r="B101" s="162">
        <f t="shared" ca="1" si="8"/>
        <v>46114</v>
      </c>
      <c r="C101" s="162"/>
      <c r="D101" s="163">
        <f t="shared" ca="1" si="12"/>
        <v>36</v>
      </c>
      <c r="E101" s="88">
        <v>46078</v>
      </c>
      <c r="F101" s="17" t="s">
        <v>725</v>
      </c>
      <c r="G101" s="17" t="s">
        <v>7</v>
      </c>
      <c r="H101" s="99">
        <v>12929</v>
      </c>
      <c r="I101" s="99"/>
      <c r="J101" s="99"/>
      <c r="K101" s="67">
        <v>12929</v>
      </c>
      <c r="L101" s="67">
        <f t="shared" si="13"/>
        <v>0</v>
      </c>
      <c r="M101" s="17" t="s">
        <v>9</v>
      </c>
      <c r="N101" s="106">
        <v>20</v>
      </c>
      <c r="O101" s="80" t="s">
        <v>24</v>
      </c>
      <c r="P101" s="100">
        <v>46098</v>
      </c>
      <c r="Q101" s="1">
        <f t="shared" si="14"/>
        <v>0</v>
      </c>
    </row>
    <row r="102" spans="1:18" s="1" customFormat="1" ht="14.1" customHeight="1" x14ac:dyDescent="0.25">
      <c r="A102" s="17" t="s">
        <v>46</v>
      </c>
      <c r="B102" s="162">
        <f t="shared" ca="1" si="8"/>
        <v>46114</v>
      </c>
      <c r="C102" s="162"/>
      <c r="D102" s="163">
        <f t="shared" ca="1" si="12"/>
        <v>35</v>
      </c>
      <c r="E102" s="88">
        <v>46079</v>
      </c>
      <c r="F102" s="17" t="s">
        <v>726</v>
      </c>
      <c r="G102" s="17" t="s">
        <v>22</v>
      </c>
      <c r="H102" s="99">
        <v>8073</v>
      </c>
      <c r="I102" s="99"/>
      <c r="J102" s="99"/>
      <c r="K102" s="67"/>
      <c r="L102" s="67">
        <f t="shared" si="13"/>
        <v>8073</v>
      </c>
      <c r="M102" s="17" t="s">
        <v>9</v>
      </c>
      <c r="N102" s="106">
        <v>19</v>
      </c>
      <c r="O102" s="80" t="s">
        <v>24</v>
      </c>
      <c r="P102" s="100">
        <v>46098</v>
      </c>
      <c r="Q102" s="1">
        <f t="shared" si="14"/>
        <v>19</v>
      </c>
    </row>
    <row r="103" spans="1:18" s="1" customFormat="1" ht="14.1" customHeight="1" x14ac:dyDescent="0.25">
      <c r="A103" s="17" t="s">
        <v>645</v>
      </c>
      <c r="B103" s="162">
        <f t="shared" ca="1" si="8"/>
        <v>46114</v>
      </c>
      <c r="C103" s="162"/>
      <c r="D103" s="163">
        <f t="shared" ca="1" si="12"/>
        <v>35</v>
      </c>
      <c r="E103" s="88">
        <v>46079</v>
      </c>
      <c r="F103" s="17" t="s">
        <v>727</v>
      </c>
      <c r="G103" s="17" t="s">
        <v>7</v>
      </c>
      <c r="H103" s="99">
        <v>14160</v>
      </c>
      <c r="I103" s="99"/>
      <c r="J103" s="99"/>
      <c r="K103" s="67"/>
      <c r="L103" s="67">
        <f t="shared" si="13"/>
        <v>14160</v>
      </c>
      <c r="M103" s="17" t="s">
        <v>9</v>
      </c>
      <c r="N103" s="106">
        <v>19</v>
      </c>
      <c r="O103" s="80" t="s">
        <v>24</v>
      </c>
      <c r="P103" s="100">
        <v>46098</v>
      </c>
      <c r="Q103" s="1">
        <f t="shared" si="14"/>
        <v>19</v>
      </c>
    </row>
    <row r="104" spans="1:18" s="1" customFormat="1" ht="14.1" customHeight="1" x14ac:dyDescent="0.25">
      <c r="A104" s="17" t="s">
        <v>796</v>
      </c>
      <c r="B104" s="162">
        <f t="shared" ca="1" si="8"/>
        <v>46114</v>
      </c>
      <c r="C104" s="162"/>
      <c r="D104" s="163">
        <f t="shared" ca="1" si="12"/>
        <v>14</v>
      </c>
      <c r="E104" s="88">
        <v>46100</v>
      </c>
      <c r="F104" s="17" t="s">
        <v>797</v>
      </c>
      <c r="G104" s="17" t="s">
        <v>184</v>
      </c>
      <c r="H104" s="99"/>
      <c r="I104" s="99">
        <v>3983</v>
      </c>
      <c r="J104" s="99"/>
      <c r="K104" s="67"/>
      <c r="L104" s="67">
        <f t="shared" si="13"/>
        <v>3983</v>
      </c>
      <c r="M104" s="17" t="s">
        <v>9</v>
      </c>
      <c r="N104" s="106"/>
      <c r="O104" s="80" t="s">
        <v>26</v>
      </c>
      <c r="P104" s="100"/>
    </row>
    <row r="105" spans="1:18" s="1" customFormat="1" ht="14.1" customHeight="1" x14ac:dyDescent="0.25">
      <c r="A105" s="17" t="s">
        <v>164</v>
      </c>
      <c r="B105" s="162">
        <f t="shared" ca="1" si="8"/>
        <v>46114</v>
      </c>
      <c r="C105" s="162"/>
      <c r="D105" s="163">
        <f t="shared" ca="1" si="12"/>
        <v>13</v>
      </c>
      <c r="E105" s="88">
        <v>46101</v>
      </c>
      <c r="F105" s="17" t="s">
        <v>798</v>
      </c>
      <c r="G105" s="17" t="s">
        <v>7</v>
      </c>
      <c r="H105" s="99"/>
      <c r="I105" s="99">
        <v>19648</v>
      </c>
      <c r="J105" s="99"/>
      <c r="K105" s="67"/>
      <c r="L105" s="67">
        <f t="shared" si="13"/>
        <v>19648</v>
      </c>
      <c r="M105" s="17" t="s">
        <v>9</v>
      </c>
      <c r="N105" s="106"/>
      <c r="O105" s="80" t="s">
        <v>24</v>
      </c>
      <c r="P105" s="100"/>
    </row>
    <row r="106" spans="1:18" s="1" customFormat="1" ht="14.1" customHeight="1" x14ac:dyDescent="0.25">
      <c r="A106" s="17" t="s">
        <v>265</v>
      </c>
      <c r="B106" s="162">
        <f t="shared" ca="1" si="8"/>
        <v>46114</v>
      </c>
      <c r="C106" s="162"/>
      <c r="D106" s="163">
        <f t="shared" ca="1" si="12"/>
        <v>13</v>
      </c>
      <c r="E106" s="88">
        <v>46101</v>
      </c>
      <c r="F106" s="17" t="s">
        <v>799</v>
      </c>
      <c r="G106" s="17" t="s">
        <v>7</v>
      </c>
      <c r="H106" s="99"/>
      <c r="I106" s="99">
        <v>12752</v>
      </c>
      <c r="J106" s="99"/>
      <c r="K106" s="67"/>
      <c r="L106" s="67">
        <f t="shared" si="13"/>
        <v>12752</v>
      </c>
      <c r="M106" s="17" t="s">
        <v>9</v>
      </c>
      <c r="N106" s="106"/>
      <c r="O106" s="80" t="s">
        <v>24</v>
      </c>
      <c r="P106" s="100"/>
    </row>
    <row r="107" spans="1:18" s="1" customFormat="1" ht="14.1" customHeight="1" x14ac:dyDescent="0.25">
      <c r="A107" s="17" t="s">
        <v>645</v>
      </c>
      <c r="B107" s="162">
        <f t="shared" ca="1" si="8"/>
        <v>46114</v>
      </c>
      <c r="C107" s="162"/>
      <c r="D107" s="163">
        <f t="shared" ca="1" si="12"/>
        <v>13</v>
      </c>
      <c r="E107" s="88">
        <v>46101</v>
      </c>
      <c r="F107" s="17" t="s">
        <v>800</v>
      </c>
      <c r="G107" s="17" t="s">
        <v>7</v>
      </c>
      <c r="H107" s="99"/>
      <c r="I107" s="99">
        <v>4994</v>
      </c>
      <c r="J107" s="99"/>
      <c r="K107" s="67">
        <v>3949</v>
      </c>
      <c r="L107" s="67">
        <f t="shared" si="13"/>
        <v>1045</v>
      </c>
      <c r="M107" s="17" t="s">
        <v>9</v>
      </c>
      <c r="N107" s="106"/>
      <c r="O107" s="80" t="s">
        <v>24</v>
      </c>
      <c r="P107" s="100"/>
    </row>
    <row r="108" spans="1:18" s="1" customFormat="1" ht="14.1" customHeight="1" x14ac:dyDescent="0.25">
      <c r="A108" s="17" t="s">
        <v>20</v>
      </c>
      <c r="B108" s="162">
        <f t="shared" ca="1" si="8"/>
        <v>46114</v>
      </c>
      <c r="C108" s="162"/>
      <c r="D108" s="163">
        <f t="shared" ca="1" si="12"/>
        <v>13</v>
      </c>
      <c r="E108" s="88">
        <v>46101</v>
      </c>
      <c r="F108" s="17" t="s">
        <v>825</v>
      </c>
      <c r="G108" s="17" t="s">
        <v>7</v>
      </c>
      <c r="H108" s="99"/>
      <c r="I108" s="99">
        <v>5124</v>
      </c>
      <c r="J108" s="99"/>
      <c r="K108" s="67"/>
      <c r="L108" s="67">
        <f t="shared" si="13"/>
        <v>5124</v>
      </c>
      <c r="M108" s="17" t="s">
        <v>9</v>
      </c>
      <c r="N108" s="106"/>
      <c r="O108" s="80" t="s">
        <v>24</v>
      </c>
      <c r="P108" s="100"/>
    </row>
    <row r="109" spans="1:18" s="1" customFormat="1" ht="14.1" customHeight="1" x14ac:dyDescent="0.25">
      <c r="A109" s="17" t="s">
        <v>738</v>
      </c>
      <c r="B109" s="162">
        <f t="shared" ca="1" si="8"/>
        <v>46114</v>
      </c>
      <c r="C109" s="162"/>
      <c r="D109" s="163">
        <f t="shared" ca="1" si="12"/>
        <v>13</v>
      </c>
      <c r="E109" s="88">
        <v>46101</v>
      </c>
      <c r="F109" s="17" t="s">
        <v>826</v>
      </c>
      <c r="G109" s="17" t="s">
        <v>92</v>
      </c>
      <c r="H109" s="99"/>
      <c r="I109" s="99">
        <v>26550</v>
      </c>
      <c r="J109" s="99"/>
      <c r="K109" s="67">
        <v>5000</v>
      </c>
      <c r="L109" s="67">
        <f t="shared" si="13"/>
        <v>21550</v>
      </c>
      <c r="M109" s="17" t="s">
        <v>9</v>
      </c>
      <c r="N109" s="106"/>
      <c r="O109" s="80" t="s">
        <v>26</v>
      </c>
      <c r="P109" s="100"/>
    </row>
    <row r="110" spans="1:18" s="1" customFormat="1" ht="14.1" customHeight="1" x14ac:dyDescent="0.25">
      <c r="A110" s="155" t="s">
        <v>873</v>
      </c>
      <c r="B110" s="162">
        <f t="shared" ca="1" si="8"/>
        <v>46114</v>
      </c>
      <c r="C110" s="162"/>
      <c r="D110" s="163">
        <f t="shared" ca="1" si="12"/>
        <v>12</v>
      </c>
      <c r="E110" s="88">
        <v>46102</v>
      </c>
      <c r="F110" s="88" t="s">
        <v>874</v>
      </c>
      <c r="G110" s="155" t="s">
        <v>875</v>
      </c>
      <c r="H110" s="99"/>
      <c r="I110" s="99">
        <v>79650</v>
      </c>
      <c r="J110" s="99"/>
      <c r="K110" s="67"/>
      <c r="L110" s="67">
        <f t="shared" si="13"/>
        <v>79650</v>
      </c>
      <c r="M110" s="17" t="s">
        <v>9</v>
      </c>
      <c r="N110" s="106"/>
      <c r="O110" s="80"/>
      <c r="P110" s="100"/>
    </row>
    <row r="111" spans="1:18" s="1" customFormat="1" ht="14.1" customHeight="1" x14ac:dyDescent="0.25">
      <c r="A111" s="155" t="s">
        <v>488</v>
      </c>
      <c r="B111" s="162">
        <f t="shared" ca="1" si="8"/>
        <v>46114</v>
      </c>
      <c r="C111" s="162"/>
      <c r="D111" s="163">
        <f t="shared" ca="1" si="12"/>
        <v>12</v>
      </c>
      <c r="E111" s="88">
        <v>46102</v>
      </c>
      <c r="F111" s="88" t="s">
        <v>876</v>
      </c>
      <c r="G111" s="155" t="s">
        <v>770</v>
      </c>
      <c r="H111" s="99"/>
      <c r="I111" s="99">
        <v>1546</v>
      </c>
      <c r="J111" s="99"/>
      <c r="K111" s="67"/>
      <c r="L111" s="67">
        <f t="shared" si="13"/>
        <v>1546</v>
      </c>
      <c r="M111" s="17" t="s">
        <v>9</v>
      </c>
      <c r="N111" s="106"/>
      <c r="O111" s="80"/>
      <c r="P111" s="100"/>
    </row>
    <row r="112" spans="1:18" s="1" customFormat="1" ht="14.1" customHeight="1" x14ac:dyDescent="0.25">
      <c r="A112" s="155" t="s">
        <v>474</v>
      </c>
      <c r="B112" s="162">
        <f t="shared" ca="1" si="8"/>
        <v>46114</v>
      </c>
      <c r="C112" s="162"/>
      <c r="D112" s="163">
        <f t="shared" ca="1" si="12"/>
        <v>9</v>
      </c>
      <c r="E112" s="88">
        <v>46105</v>
      </c>
      <c r="F112" s="88" t="s">
        <v>877</v>
      </c>
      <c r="G112" s="155" t="s">
        <v>22</v>
      </c>
      <c r="H112" s="99"/>
      <c r="I112" s="99">
        <v>81055</v>
      </c>
      <c r="J112" s="99"/>
      <c r="K112" s="67"/>
      <c r="L112" s="67">
        <f t="shared" si="13"/>
        <v>81055</v>
      </c>
      <c r="M112" s="17" t="s">
        <v>9</v>
      </c>
      <c r="N112" s="106"/>
      <c r="O112" s="80"/>
      <c r="P112" s="100"/>
    </row>
    <row r="113" spans="1:18" s="1" customFormat="1" ht="14.1" customHeight="1" x14ac:dyDescent="0.25">
      <c r="A113" s="155" t="s">
        <v>46</v>
      </c>
      <c r="B113" s="162">
        <f t="shared" ca="1" si="8"/>
        <v>46114</v>
      </c>
      <c r="C113" s="162"/>
      <c r="D113" s="163">
        <f t="shared" ca="1" si="12"/>
        <v>8</v>
      </c>
      <c r="E113" s="88">
        <v>46106</v>
      </c>
      <c r="F113" s="88" t="s">
        <v>878</v>
      </c>
      <c r="G113" s="155" t="s">
        <v>22</v>
      </c>
      <c r="H113" s="99"/>
      <c r="I113" s="99">
        <v>7648</v>
      </c>
      <c r="J113" s="99"/>
      <c r="K113" s="67"/>
      <c r="L113" s="67">
        <f t="shared" si="13"/>
        <v>7648</v>
      </c>
      <c r="M113" s="17" t="s">
        <v>9</v>
      </c>
      <c r="N113" s="106"/>
      <c r="O113" s="80"/>
      <c r="P113" s="100"/>
    </row>
    <row r="114" spans="1:18" s="2" customFormat="1" ht="14.1" customHeight="1" x14ac:dyDescent="0.25">
      <c r="A114" s="19"/>
      <c r="B114" s="162"/>
      <c r="C114" s="162"/>
      <c r="D114" s="19"/>
      <c r="E114" s="20"/>
      <c r="F114" s="19"/>
      <c r="G114" s="19"/>
      <c r="H114" s="69">
        <f>SUM(H98:H113)</f>
        <v>47870</v>
      </c>
      <c r="I114" s="69">
        <f>SUM(I98:I113)</f>
        <v>242950</v>
      </c>
      <c r="J114" s="69">
        <f>SUM(J98:J109)</f>
        <v>0</v>
      </c>
      <c r="K114" s="69">
        <f>SUM(K98:K113)</f>
        <v>21878</v>
      </c>
      <c r="L114" s="69">
        <f>SUM(L98:L113)</f>
        <v>268942</v>
      </c>
      <c r="M114" s="69">
        <f>COUNTIF(L98:L109,"&gt;0")</f>
        <v>11</v>
      </c>
      <c r="N114" s="27"/>
      <c r="O114" s="179" t="s">
        <v>27</v>
      </c>
      <c r="P114" s="158"/>
      <c r="Q114" s="156"/>
      <c r="R114" s="159">
        <f>+H114-71796</f>
        <v>-23926</v>
      </c>
    </row>
    <row r="115" spans="1:18" s="1" customFormat="1" ht="14.1" customHeight="1" x14ac:dyDescent="0.25">
      <c r="A115" s="17" t="s">
        <v>218</v>
      </c>
      <c r="B115" s="162">
        <f t="shared" ca="1" si="8"/>
        <v>46114</v>
      </c>
      <c r="C115" s="162"/>
      <c r="D115" s="163">
        <f t="shared" ref="D115:D142" ca="1" si="15">B115-E115</f>
        <v>253</v>
      </c>
      <c r="E115" s="88">
        <v>45861</v>
      </c>
      <c r="F115" s="17" t="s">
        <v>219</v>
      </c>
      <c r="G115" s="17" t="s">
        <v>16</v>
      </c>
      <c r="H115" s="99">
        <v>98530</v>
      </c>
      <c r="I115" s="99"/>
      <c r="J115" s="99"/>
      <c r="K115" s="67"/>
      <c r="L115" s="67">
        <f t="shared" ref="L115:L142" si="16">+H115+I115-K115-J115</f>
        <v>98530</v>
      </c>
      <c r="M115" s="17" t="s">
        <v>6</v>
      </c>
      <c r="N115" s="132">
        <v>237</v>
      </c>
      <c r="O115" s="80" t="s">
        <v>25</v>
      </c>
      <c r="P115" s="100">
        <v>46098</v>
      </c>
      <c r="Q115" s="1">
        <f t="shared" ref="Q115:Q134" si="17">IF(L115=0,0,P115-E115)</f>
        <v>237</v>
      </c>
      <c r="R115" s="100"/>
    </row>
    <row r="116" spans="1:18" s="1" customFormat="1" ht="14.1" customHeight="1" x14ac:dyDescent="0.25">
      <c r="A116" s="17" t="s">
        <v>206</v>
      </c>
      <c r="B116" s="162">
        <f t="shared" ca="1" si="8"/>
        <v>46114</v>
      </c>
      <c r="C116" s="162"/>
      <c r="D116" s="163">
        <f t="shared" ca="1" si="15"/>
        <v>203</v>
      </c>
      <c r="E116" s="88">
        <v>45911</v>
      </c>
      <c r="F116" s="17" t="s">
        <v>317</v>
      </c>
      <c r="G116" s="17" t="s">
        <v>7</v>
      </c>
      <c r="H116" s="99">
        <v>46</v>
      </c>
      <c r="I116" s="99"/>
      <c r="J116" s="99"/>
      <c r="K116" s="67"/>
      <c r="L116" s="67">
        <f t="shared" si="16"/>
        <v>46</v>
      </c>
      <c r="M116" s="17" t="s">
        <v>6</v>
      </c>
      <c r="N116" s="132">
        <v>187</v>
      </c>
      <c r="O116" s="80" t="s">
        <v>24</v>
      </c>
      <c r="P116" s="100">
        <v>46098</v>
      </c>
      <c r="Q116" s="1">
        <f t="shared" si="17"/>
        <v>187</v>
      </c>
      <c r="R116" s="100"/>
    </row>
    <row r="117" spans="1:18" s="1" customFormat="1" ht="13.5" customHeight="1" x14ac:dyDescent="0.25">
      <c r="A117" s="17" t="s">
        <v>19</v>
      </c>
      <c r="B117" s="162">
        <f t="shared" ca="1" si="8"/>
        <v>46114</v>
      </c>
      <c r="C117" s="162"/>
      <c r="D117" s="163">
        <f t="shared" ca="1" si="15"/>
        <v>169</v>
      </c>
      <c r="E117" s="88">
        <v>45945</v>
      </c>
      <c r="F117" s="17" t="s">
        <v>445</v>
      </c>
      <c r="G117" s="17" t="s">
        <v>7</v>
      </c>
      <c r="H117" s="99">
        <v>2146</v>
      </c>
      <c r="I117" s="99"/>
      <c r="J117" s="99"/>
      <c r="K117" s="67"/>
      <c r="L117" s="67">
        <f t="shared" si="16"/>
        <v>2146</v>
      </c>
      <c r="M117" s="17" t="s">
        <v>6</v>
      </c>
      <c r="N117" s="132">
        <v>153</v>
      </c>
      <c r="O117" s="80" t="s">
        <v>24</v>
      </c>
      <c r="P117" s="100">
        <v>46098</v>
      </c>
      <c r="Q117" s="1">
        <f t="shared" si="17"/>
        <v>153</v>
      </c>
      <c r="R117" s="100"/>
    </row>
    <row r="118" spans="1:18" s="1" customFormat="1" ht="13.5" customHeight="1" x14ac:dyDescent="0.25">
      <c r="A118" s="17" t="s">
        <v>206</v>
      </c>
      <c r="B118" s="162">
        <f t="shared" ca="1" si="8"/>
        <v>46114</v>
      </c>
      <c r="C118" s="162"/>
      <c r="D118" s="163">
        <f t="shared" ca="1" si="15"/>
        <v>169</v>
      </c>
      <c r="E118" s="88">
        <v>45945</v>
      </c>
      <c r="F118" s="17" t="s">
        <v>446</v>
      </c>
      <c r="G118" s="17" t="s">
        <v>7</v>
      </c>
      <c r="H118" s="99">
        <v>4477</v>
      </c>
      <c r="I118" s="99"/>
      <c r="J118" s="99"/>
      <c r="K118" s="67"/>
      <c r="L118" s="67">
        <f t="shared" si="16"/>
        <v>4477</v>
      </c>
      <c r="M118" s="17" t="s">
        <v>6</v>
      </c>
      <c r="N118" s="132">
        <v>153</v>
      </c>
      <c r="O118" s="80" t="s">
        <v>24</v>
      </c>
      <c r="P118" s="100">
        <v>46098</v>
      </c>
      <c r="Q118" s="1">
        <f t="shared" si="17"/>
        <v>153</v>
      </c>
      <c r="R118" s="100"/>
    </row>
    <row r="119" spans="1:18" s="1" customFormat="1" ht="13.5" customHeight="1" x14ac:dyDescent="0.25">
      <c r="A119" s="17" t="s">
        <v>130</v>
      </c>
      <c r="B119" s="162">
        <f t="shared" ca="1" si="8"/>
        <v>46114</v>
      </c>
      <c r="C119" s="162"/>
      <c r="D119" s="163">
        <f t="shared" ca="1" si="15"/>
        <v>169</v>
      </c>
      <c r="E119" s="88">
        <v>45945</v>
      </c>
      <c r="F119" s="17" t="s">
        <v>447</v>
      </c>
      <c r="G119" s="17" t="s">
        <v>7</v>
      </c>
      <c r="H119" s="99">
        <v>19357</v>
      </c>
      <c r="I119" s="99"/>
      <c r="J119" s="99"/>
      <c r="K119" s="67"/>
      <c r="L119" s="67">
        <f t="shared" si="16"/>
        <v>19357</v>
      </c>
      <c r="M119" s="17" t="s">
        <v>6</v>
      </c>
      <c r="N119" s="132">
        <v>153</v>
      </c>
      <c r="O119" s="80" t="s">
        <v>24</v>
      </c>
      <c r="P119" s="100">
        <v>46098</v>
      </c>
      <c r="Q119" s="1">
        <f t="shared" si="17"/>
        <v>153</v>
      </c>
      <c r="R119" s="100"/>
    </row>
    <row r="120" spans="1:18" s="1" customFormat="1" ht="13.5" customHeight="1" x14ac:dyDescent="0.25">
      <c r="A120" s="17" t="s">
        <v>206</v>
      </c>
      <c r="B120" s="162">
        <f t="shared" ca="1" si="8"/>
        <v>46114</v>
      </c>
      <c r="C120" s="162"/>
      <c r="D120" s="163">
        <f t="shared" ca="1" si="15"/>
        <v>138</v>
      </c>
      <c r="E120" s="88">
        <v>45976</v>
      </c>
      <c r="F120" s="17" t="s">
        <v>476</v>
      </c>
      <c r="G120" s="17" t="s">
        <v>7</v>
      </c>
      <c r="H120" s="99">
        <v>5040</v>
      </c>
      <c r="I120" s="99"/>
      <c r="J120" s="99"/>
      <c r="K120" s="67"/>
      <c r="L120" s="67">
        <f t="shared" si="16"/>
        <v>5040</v>
      </c>
      <c r="M120" s="17" t="s">
        <v>6</v>
      </c>
      <c r="N120" s="132">
        <v>122</v>
      </c>
      <c r="O120" s="80" t="s">
        <v>24</v>
      </c>
      <c r="P120" s="100">
        <v>46098</v>
      </c>
      <c r="Q120" s="1">
        <f t="shared" si="17"/>
        <v>122</v>
      </c>
      <c r="R120" s="100"/>
    </row>
    <row r="121" spans="1:18" s="1" customFormat="1" ht="13.5" customHeight="1" x14ac:dyDescent="0.25">
      <c r="A121" s="17" t="s">
        <v>19</v>
      </c>
      <c r="B121" s="162">
        <f t="shared" ca="1" si="8"/>
        <v>46114</v>
      </c>
      <c r="C121" s="162"/>
      <c r="D121" s="163">
        <f t="shared" ca="1" si="15"/>
        <v>108</v>
      </c>
      <c r="E121" s="88">
        <v>46006</v>
      </c>
      <c r="F121" s="17" t="s">
        <v>523</v>
      </c>
      <c r="G121" s="17" t="s">
        <v>7</v>
      </c>
      <c r="H121" s="99">
        <v>5843</v>
      </c>
      <c r="I121" s="99"/>
      <c r="J121" s="99"/>
      <c r="K121" s="67"/>
      <c r="L121" s="67">
        <f t="shared" si="16"/>
        <v>5843</v>
      </c>
      <c r="M121" s="17" t="s">
        <v>6</v>
      </c>
      <c r="N121" s="132">
        <v>92</v>
      </c>
      <c r="O121" s="80" t="s">
        <v>24</v>
      </c>
      <c r="P121" s="100">
        <v>46098</v>
      </c>
      <c r="Q121" s="1">
        <f t="shared" si="17"/>
        <v>92</v>
      </c>
      <c r="R121" s="100"/>
    </row>
    <row r="122" spans="1:18" s="1" customFormat="1" ht="13.5" customHeight="1" x14ac:dyDescent="0.25">
      <c r="A122" s="17" t="s">
        <v>206</v>
      </c>
      <c r="B122" s="162">
        <f t="shared" ca="1" si="8"/>
        <v>46114</v>
      </c>
      <c r="C122" s="162"/>
      <c r="D122" s="163">
        <f t="shared" ca="1" si="15"/>
        <v>107</v>
      </c>
      <c r="E122" s="88">
        <v>46007</v>
      </c>
      <c r="F122" s="17" t="s">
        <v>535</v>
      </c>
      <c r="G122" s="17" t="s">
        <v>7</v>
      </c>
      <c r="H122" s="99">
        <v>4515</v>
      </c>
      <c r="I122" s="99"/>
      <c r="J122" s="99"/>
      <c r="K122" s="67"/>
      <c r="L122" s="67">
        <f t="shared" si="16"/>
        <v>4515</v>
      </c>
      <c r="M122" s="17" t="s">
        <v>6</v>
      </c>
      <c r="N122" s="132">
        <v>91</v>
      </c>
      <c r="O122" s="80" t="s">
        <v>24</v>
      </c>
      <c r="P122" s="100">
        <v>46098</v>
      </c>
      <c r="Q122" s="1">
        <f t="shared" si="17"/>
        <v>91</v>
      </c>
      <c r="R122" s="100"/>
    </row>
    <row r="123" spans="1:18" s="1" customFormat="1" ht="13.5" customHeight="1" x14ac:dyDescent="0.25">
      <c r="A123" s="17" t="s">
        <v>151</v>
      </c>
      <c r="B123" s="162">
        <f t="shared" ca="1" si="8"/>
        <v>46114</v>
      </c>
      <c r="C123" s="162"/>
      <c r="D123" s="163">
        <f t="shared" ca="1" si="15"/>
        <v>80</v>
      </c>
      <c r="E123" s="88">
        <v>46034</v>
      </c>
      <c r="F123" s="17" t="s">
        <v>608</v>
      </c>
      <c r="G123" s="17" t="s">
        <v>40</v>
      </c>
      <c r="H123" s="99">
        <v>74280</v>
      </c>
      <c r="I123" s="99"/>
      <c r="J123" s="99"/>
      <c r="K123" s="67"/>
      <c r="L123" s="67">
        <f t="shared" si="16"/>
        <v>74280</v>
      </c>
      <c r="M123" s="17" t="s">
        <v>6</v>
      </c>
      <c r="N123" s="132">
        <v>64</v>
      </c>
      <c r="O123" s="80" t="s">
        <v>25</v>
      </c>
      <c r="P123" s="100">
        <v>46098</v>
      </c>
      <c r="Q123" s="1">
        <f t="shared" si="17"/>
        <v>64</v>
      </c>
      <c r="R123" s="100"/>
    </row>
    <row r="124" spans="1:18" s="1" customFormat="1" ht="13.5" customHeight="1" x14ac:dyDescent="0.25">
      <c r="A124" s="17" t="s">
        <v>62</v>
      </c>
      <c r="B124" s="162">
        <f t="shared" ca="1" si="8"/>
        <v>46114</v>
      </c>
      <c r="C124" s="162"/>
      <c r="D124" s="163">
        <f t="shared" ca="1" si="15"/>
        <v>78</v>
      </c>
      <c r="E124" s="88">
        <v>46036</v>
      </c>
      <c r="F124" s="17" t="s">
        <v>609</v>
      </c>
      <c r="G124" s="17" t="s">
        <v>7</v>
      </c>
      <c r="H124" s="99">
        <v>14944</v>
      </c>
      <c r="I124" s="99"/>
      <c r="J124" s="99"/>
      <c r="K124" s="67">
        <v>14944</v>
      </c>
      <c r="L124" s="67">
        <f t="shared" si="16"/>
        <v>0</v>
      </c>
      <c r="M124" s="17" t="s">
        <v>6</v>
      </c>
      <c r="N124" s="132">
        <v>62</v>
      </c>
      <c r="O124" s="80" t="s">
        <v>24</v>
      </c>
      <c r="P124" s="100">
        <v>46098</v>
      </c>
      <c r="Q124" s="1">
        <f t="shared" si="17"/>
        <v>0</v>
      </c>
      <c r="R124" s="100"/>
    </row>
    <row r="125" spans="1:18" s="1" customFormat="1" ht="13.5" customHeight="1" x14ac:dyDescent="0.25">
      <c r="A125" s="17" t="s">
        <v>206</v>
      </c>
      <c r="B125" s="162">
        <f t="shared" ca="1" si="8"/>
        <v>46114</v>
      </c>
      <c r="C125" s="162"/>
      <c r="D125" s="163">
        <f t="shared" ca="1" si="15"/>
        <v>78</v>
      </c>
      <c r="E125" s="88">
        <v>46036</v>
      </c>
      <c r="F125" s="17" t="s">
        <v>610</v>
      </c>
      <c r="G125" s="17" t="s">
        <v>7</v>
      </c>
      <c r="H125" s="99">
        <v>4675</v>
      </c>
      <c r="I125" s="99"/>
      <c r="J125" s="99"/>
      <c r="K125" s="67"/>
      <c r="L125" s="67">
        <f t="shared" si="16"/>
        <v>4675</v>
      </c>
      <c r="M125" s="17" t="s">
        <v>6</v>
      </c>
      <c r="N125" s="132">
        <v>62</v>
      </c>
      <c r="O125" s="80" t="s">
        <v>24</v>
      </c>
      <c r="P125" s="100">
        <v>46098</v>
      </c>
      <c r="Q125" s="1">
        <f t="shared" si="17"/>
        <v>62</v>
      </c>
      <c r="R125" s="100"/>
    </row>
    <row r="126" spans="1:18" s="1" customFormat="1" ht="13.5" customHeight="1" x14ac:dyDescent="0.25">
      <c r="A126" s="17" t="s">
        <v>14</v>
      </c>
      <c r="B126" s="162">
        <f t="shared" ca="1" si="8"/>
        <v>46114</v>
      </c>
      <c r="C126" s="162"/>
      <c r="D126" s="163">
        <f t="shared" ca="1" si="15"/>
        <v>78</v>
      </c>
      <c r="E126" s="88">
        <v>46036</v>
      </c>
      <c r="F126" s="17" t="s">
        <v>612</v>
      </c>
      <c r="G126" s="17" t="s">
        <v>7</v>
      </c>
      <c r="H126" s="99">
        <v>10928</v>
      </c>
      <c r="I126" s="99"/>
      <c r="J126" s="99"/>
      <c r="K126" s="67"/>
      <c r="L126" s="67">
        <f t="shared" si="16"/>
        <v>10928</v>
      </c>
      <c r="M126" s="17" t="s">
        <v>6</v>
      </c>
      <c r="N126" s="132">
        <v>62</v>
      </c>
      <c r="O126" s="80" t="s">
        <v>24</v>
      </c>
      <c r="P126" s="100">
        <v>46098</v>
      </c>
      <c r="Q126" s="1">
        <f t="shared" si="17"/>
        <v>62</v>
      </c>
      <c r="R126" s="100"/>
    </row>
    <row r="127" spans="1:18" s="1" customFormat="1" ht="13.5" customHeight="1" x14ac:dyDescent="0.25">
      <c r="A127" s="17" t="s">
        <v>373</v>
      </c>
      <c r="B127" s="162">
        <f t="shared" ca="1" si="8"/>
        <v>46114</v>
      </c>
      <c r="C127" s="162"/>
      <c r="D127" s="163">
        <f t="shared" ca="1" si="15"/>
        <v>59</v>
      </c>
      <c r="E127" s="88">
        <v>46055</v>
      </c>
      <c r="F127" s="17" t="s">
        <v>661</v>
      </c>
      <c r="G127" s="17" t="s">
        <v>11</v>
      </c>
      <c r="H127" s="99">
        <v>24106</v>
      </c>
      <c r="I127" s="99"/>
      <c r="J127" s="99"/>
      <c r="K127" s="67"/>
      <c r="L127" s="67">
        <f t="shared" si="16"/>
        <v>24106</v>
      </c>
      <c r="M127" s="17" t="s">
        <v>6</v>
      </c>
      <c r="N127" s="132">
        <v>43</v>
      </c>
      <c r="O127" s="80" t="s">
        <v>411</v>
      </c>
      <c r="P127" s="100">
        <v>46098</v>
      </c>
      <c r="Q127" s="1">
        <f t="shared" si="17"/>
        <v>43</v>
      </c>
      <c r="R127" s="100"/>
    </row>
    <row r="128" spans="1:18" s="1" customFormat="1" ht="13.5" customHeight="1" x14ac:dyDescent="0.25">
      <c r="A128" s="17" t="s">
        <v>62</v>
      </c>
      <c r="B128" s="162">
        <f t="shared" ca="1" si="8"/>
        <v>46114</v>
      </c>
      <c r="C128" s="162"/>
      <c r="D128" s="163">
        <f t="shared" ca="1" si="15"/>
        <v>50</v>
      </c>
      <c r="E128" s="88">
        <v>46064</v>
      </c>
      <c r="F128" s="17" t="s">
        <v>697</v>
      </c>
      <c r="G128" s="17" t="s">
        <v>7</v>
      </c>
      <c r="H128" s="99">
        <v>14880</v>
      </c>
      <c r="I128" s="99"/>
      <c r="J128" s="99"/>
      <c r="K128" s="67">
        <v>14880</v>
      </c>
      <c r="L128" s="67">
        <f t="shared" si="16"/>
        <v>0</v>
      </c>
      <c r="M128" s="17" t="s">
        <v>6</v>
      </c>
      <c r="N128" s="132">
        <v>34</v>
      </c>
      <c r="O128" s="80" t="s">
        <v>24</v>
      </c>
      <c r="P128" s="100">
        <v>46098</v>
      </c>
      <c r="Q128" s="1">
        <f t="shared" si="17"/>
        <v>0</v>
      </c>
      <c r="R128" s="100"/>
    </row>
    <row r="129" spans="1:27" s="1" customFormat="1" ht="13.5" customHeight="1" x14ac:dyDescent="0.25">
      <c r="A129" s="17" t="s">
        <v>206</v>
      </c>
      <c r="B129" s="162">
        <f t="shared" ca="1" si="8"/>
        <v>46114</v>
      </c>
      <c r="C129" s="162"/>
      <c r="D129" s="163">
        <f t="shared" ca="1" si="15"/>
        <v>50</v>
      </c>
      <c r="E129" s="88">
        <v>46064</v>
      </c>
      <c r="F129" s="17" t="s">
        <v>698</v>
      </c>
      <c r="G129" s="17" t="s">
        <v>7</v>
      </c>
      <c r="H129" s="99">
        <v>4715</v>
      </c>
      <c r="I129" s="99"/>
      <c r="J129" s="99"/>
      <c r="K129" s="67"/>
      <c r="L129" s="67">
        <f t="shared" si="16"/>
        <v>4715</v>
      </c>
      <c r="M129" s="17" t="s">
        <v>6</v>
      </c>
      <c r="N129" s="132">
        <v>34</v>
      </c>
      <c r="O129" s="80" t="s">
        <v>24</v>
      </c>
      <c r="P129" s="100">
        <v>46098</v>
      </c>
      <c r="Q129" s="1">
        <f t="shared" si="17"/>
        <v>34</v>
      </c>
      <c r="R129" s="100"/>
    </row>
    <row r="130" spans="1:27" s="1" customFormat="1" ht="13.5" customHeight="1" x14ac:dyDescent="0.25">
      <c r="A130" s="17" t="s">
        <v>14</v>
      </c>
      <c r="B130" s="162">
        <f t="shared" ca="1" si="8"/>
        <v>46114</v>
      </c>
      <c r="C130" s="162"/>
      <c r="D130" s="163">
        <f t="shared" ca="1" si="15"/>
        <v>50</v>
      </c>
      <c r="E130" s="88">
        <v>46064</v>
      </c>
      <c r="F130" s="17" t="s">
        <v>699</v>
      </c>
      <c r="G130" s="17" t="s">
        <v>7</v>
      </c>
      <c r="H130" s="99">
        <v>10423</v>
      </c>
      <c r="I130" s="99"/>
      <c r="J130" s="99"/>
      <c r="K130" s="67"/>
      <c r="L130" s="67">
        <f t="shared" si="16"/>
        <v>10423</v>
      </c>
      <c r="M130" s="17" t="s">
        <v>6</v>
      </c>
      <c r="N130" s="132">
        <v>34</v>
      </c>
      <c r="O130" s="80" t="s">
        <v>24</v>
      </c>
      <c r="P130" s="100">
        <v>46098</v>
      </c>
      <c r="Q130" s="1">
        <f t="shared" si="17"/>
        <v>34</v>
      </c>
      <c r="R130" s="100"/>
    </row>
    <row r="131" spans="1:27" s="1" customFormat="1" ht="13.5" customHeight="1" x14ac:dyDescent="0.25">
      <c r="A131" s="17" t="s">
        <v>464</v>
      </c>
      <c r="B131" s="162">
        <f t="shared" ref="B131:B194" ca="1" si="18">TODAY()</f>
        <v>46114</v>
      </c>
      <c r="C131" s="162"/>
      <c r="D131" s="163">
        <f t="shared" ca="1" si="15"/>
        <v>41</v>
      </c>
      <c r="E131" s="88">
        <v>46073</v>
      </c>
      <c r="F131" s="17" t="s">
        <v>713</v>
      </c>
      <c r="G131" s="17" t="s">
        <v>836</v>
      </c>
      <c r="H131" s="99">
        <v>2360</v>
      </c>
      <c r="I131" s="99"/>
      <c r="J131" s="99"/>
      <c r="K131" s="67"/>
      <c r="L131" s="67">
        <f t="shared" si="16"/>
        <v>2360</v>
      </c>
      <c r="M131" s="17" t="s">
        <v>6</v>
      </c>
      <c r="N131" s="132">
        <v>25</v>
      </c>
      <c r="O131" s="80" t="s">
        <v>26</v>
      </c>
      <c r="P131" s="100">
        <v>46098</v>
      </c>
      <c r="Q131" s="1">
        <f t="shared" si="17"/>
        <v>25</v>
      </c>
      <c r="R131" s="100"/>
    </row>
    <row r="132" spans="1:27" s="1" customFormat="1" ht="13.5" customHeight="1" x14ac:dyDescent="0.25">
      <c r="A132" s="17" t="s">
        <v>152</v>
      </c>
      <c r="B132" s="162">
        <f t="shared" ca="1" si="18"/>
        <v>46114</v>
      </c>
      <c r="C132" s="162"/>
      <c r="D132" s="163">
        <f t="shared" ca="1" si="15"/>
        <v>37</v>
      </c>
      <c r="E132" s="88">
        <v>46077</v>
      </c>
      <c r="F132" s="17" t="s">
        <v>728</v>
      </c>
      <c r="G132" s="17" t="s">
        <v>7</v>
      </c>
      <c r="H132" s="99">
        <v>6274</v>
      </c>
      <c r="I132" s="99"/>
      <c r="J132" s="99"/>
      <c r="K132" s="67"/>
      <c r="L132" s="67">
        <f t="shared" si="16"/>
        <v>6274</v>
      </c>
      <c r="M132" s="17" t="s">
        <v>6</v>
      </c>
      <c r="N132" s="132">
        <v>21</v>
      </c>
      <c r="O132" s="80" t="s">
        <v>24</v>
      </c>
      <c r="P132" s="100">
        <v>46098</v>
      </c>
      <c r="Q132" s="1">
        <f t="shared" si="17"/>
        <v>21</v>
      </c>
      <c r="R132" s="100"/>
    </row>
    <row r="133" spans="1:27" s="1" customFormat="1" ht="13.5" customHeight="1" x14ac:dyDescent="0.25">
      <c r="A133" s="17" t="s">
        <v>268</v>
      </c>
      <c r="B133" s="162">
        <f t="shared" ca="1" si="18"/>
        <v>46114</v>
      </c>
      <c r="C133" s="162"/>
      <c r="D133" s="163">
        <f t="shared" ca="1" si="15"/>
        <v>36</v>
      </c>
      <c r="E133" s="88">
        <v>46078</v>
      </c>
      <c r="F133" s="17" t="s">
        <v>729</v>
      </c>
      <c r="G133" s="17" t="s">
        <v>7</v>
      </c>
      <c r="H133" s="99">
        <v>27404</v>
      </c>
      <c r="I133" s="99"/>
      <c r="J133" s="99"/>
      <c r="K133" s="67">
        <v>27404</v>
      </c>
      <c r="L133" s="67">
        <f t="shared" si="16"/>
        <v>0</v>
      </c>
      <c r="M133" s="17" t="s">
        <v>6</v>
      </c>
      <c r="N133" s="132">
        <v>20</v>
      </c>
      <c r="O133" s="80" t="s">
        <v>24</v>
      </c>
      <c r="P133" s="100">
        <v>46098</v>
      </c>
      <c r="Q133" s="1">
        <f t="shared" si="17"/>
        <v>0</v>
      </c>
      <c r="R133" s="100"/>
    </row>
    <row r="134" spans="1:27" s="1" customFormat="1" ht="13.5" customHeight="1" x14ac:dyDescent="0.25">
      <c r="A134" s="17" t="s">
        <v>768</v>
      </c>
      <c r="B134" s="162">
        <f t="shared" ca="1" si="18"/>
        <v>46114</v>
      </c>
      <c r="C134" s="162"/>
      <c r="D134" s="163">
        <f t="shared" ca="1" si="15"/>
        <v>17</v>
      </c>
      <c r="E134" s="88">
        <v>46097</v>
      </c>
      <c r="F134" s="17" t="s">
        <v>769</v>
      </c>
      <c r="G134" s="17" t="s">
        <v>770</v>
      </c>
      <c r="H134" s="99"/>
      <c r="I134" s="99">
        <v>6274</v>
      </c>
      <c r="J134" s="99"/>
      <c r="K134" s="67">
        <v>6274</v>
      </c>
      <c r="L134" s="67">
        <f t="shared" si="16"/>
        <v>0</v>
      </c>
      <c r="M134" s="17" t="s">
        <v>6</v>
      </c>
      <c r="N134" s="132">
        <v>1</v>
      </c>
      <c r="O134" s="80" t="s">
        <v>24</v>
      </c>
      <c r="P134" s="100">
        <v>46098</v>
      </c>
      <c r="Q134" s="1">
        <f t="shared" si="17"/>
        <v>0</v>
      </c>
      <c r="R134" s="100"/>
    </row>
    <row r="135" spans="1:27" s="1" customFormat="1" ht="13.5" customHeight="1" x14ac:dyDescent="0.25">
      <c r="A135" s="17" t="s">
        <v>30</v>
      </c>
      <c r="B135" s="162">
        <f t="shared" ca="1" si="18"/>
        <v>46114</v>
      </c>
      <c r="C135" s="162"/>
      <c r="D135" s="163">
        <f t="shared" ca="1" si="15"/>
        <v>14</v>
      </c>
      <c r="E135" s="88">
        <v>46100</v>
      </c>
      <c r="F135" s="17" t="s">
        <v>801</v>
      </c>
      <c r="G135" s="17" t="s">
        <v>525</v>
      </c>
      <c r="H135" s="99"/>
      <c r="I135" s="99">
        <v>23836</v>
      </c>
      <c r="J135" s="99"/>
      <c r="K135" s="67">
        <v>23836</v>
      </c>
      <c r="L135" s="67">
        <f t="shared" si="16"/>
        <v>0</v>
      </c>
      <c r="M135" s="17" t="s">
        <v>6</v>
      </c>
      <c r="N135" s="132"/>
      <c r="O135" s="80" t="s">
        <v>25</v>
      </c>
      <c r="P135" s="100"/>
      <c r="R135" s="100"/>
    </row>
    <row r="136" spans="1:27" s="1" customFormat="1" ht="13.5" customHeight="1" x14ac:dyDescent="0.25">
      <c r="A136" s="17" t="s">
        <v>30</v>
      </c>
      <c r="B136" s="162">
        <f t="shared" ca="1" si="18"/>
        <v>46114</v>
      </c>
      <c r="C136" s="162"/>
      <c r="D136" s="163">
        <f t="shared" ca="1" si="15"/>
        <v>14</v>
      </c>
      <c r="E136" s="88">
        <v>46100</v>
      </c>
      <c r="F136" s="17" t="s">
        <v>801</v>
      </c>
      <c r="G136" s="17" t="s">
        <v>7</v>
      </c>
      <c r="H136" s="99"/>
      <c r="I136" s="99">
        <v>26364</v>
      </c>
      <c r="J136" s="99"/>
      <c r="K136" s="67">
        <v>26364</v>
      </c>
      <c r="L136" s="67">
        <f t="shared" si="16"/>
        <v>0</v>
      </c>
      <c r="M136" s="17" t="s">
        <v>6</v>
      </c>
      <c r="N136" s="132"/>
      <c r="O136" s="80" t="s">
        <v>24</v>
      </c>
      <c r="P136" s="100"/>
      <c r="R136" s="100"/>
    </row>
    <row r="137" spans="1:27" s="1" customFormat="1" ht="13.5" customHeight="1" x14ac:dyDescent="0.25">
      <c r="A137" s="17" t="s">
        <v>268</v>
      </c>
      <c r="B137" s="162">
        <f t="shared" ca="1" si="18"/>
        <v>46114</v>
      </c>
      <c r="C137" s="162"/>
      <c r="D137" s="163">
        <f t="shared" ca="1" si="15"/>
        <v>13</v>
      </c>
      <c r="E137" s="88">
        <v>46101</v>
      </c>
      <c r="F137" s="17" t="s">
        <v>802</v>
      </c>
      <c r="G137" s="17" t="s">
        <v>7</v>
      </c>
      <c r="H137" s="99"/>
      <c r="I137" s="99">
        <v>26409</v>
      </c>
      <c r="J137" s="99"/>
      <c r="K137" s="67">
        <v>26409</v>
      </c>
      <c r="L137" s="67">
        <f t="shared" si="16"/>
        <v>0</v>
      </c>
      <c r="M137" s="17" t="s">
        <v>6</v>
      </c>
      <c r="N137" s="132"/>
      <c r="O137" s="80" t="s">
        <v>24</v>
      </c>
      <c r="P137" s="100"/>
      <c r="R137" s="100"/>
    </row>
    <row r="138" spans="1:27" s="1" customFormat="1" ht="13.5" customHeight="1" x14ac:dyDescent="0.25">
      <c r="A138" s="17" t="s">
        <v>536</v>
      </c>
      <c r="B138" s="162">
        <f t="shared" ca="1" si="18"/>
        <v>46114</v>
      </c>
      <c r="C138" s="162"/>
      <c r="D138" s="163">
        <f t="shared" ca="1" si="15"/>
        <v>13</v>
      </c>
      <c r="E138" s="88">
        <v>46101</v>
      </c>
      <c r="F138" s="17" t="s">
        <v>803</v>
      </c>
      <c r="G138" s="17" t="s">
        <v>7</v>
      </c>
      <c r="H138" s="99"/>
      <c r="I138" s="99">
        <v>36568</v>
      </c>
      <c r="J138" s="99"/>
      <c r="K138" s="67"/>
      <c r="L138" s="67">
        <f t="shared" si="16"/>
        <v>36568</v>
      </c>
      <c r="M138" s="17" t="s">
        <v>6</v>
      </c>
      <c r="N138" s="132"/>
      <c r="O138" s="80" t="s">
        <v>24</v>
      </c>
      <c r="P138" s="100"/>
      <c r="R138" s="100"/>
    </row>
    <row r="139" spans="1:27" s="1" customFormat="1" ht="13.5" customHeight="1" x14ac:dyDescent="0.25">
      <c r="A139" s="17" t="s">
        <v>62</v>
      </c>
      <c r="B139" s="162">
        <f t="shared" ca="1" si="18"/>
        <v>46114</v>
      </c>
      <c r="C139" s="162"/>
      <c r="D139" s="163">
        <f t="shared" ca="1" si="15"/>
        <v>13</v>
      </c>
      <c r="E139" s="88">
        <v>46101</v>
      </c>
      <c r="F139" s="17" t="s">
        <v>827</v>
      </c>
      <c r="G139" s="17" t="s">
        <v>7</v>
      </c>
      <c r="H139" s="99"/>
      <c r="I139" s="99">
        <v>22106</v>
      </c>
      <c r="J139" s="99"/>
      <c r="K139" s="67"/>
      <c r="L139" s="67">
        <f t="shared" si="16"/>
        <v>22106</v>
      </c>
      <c r="M139" s="17" t="s">
        <v>6</v>
      </c>
      <c r="N139" s="132"/>
      <c r="O139" s="80" t="s">
        <v>24</v>
      </c>
      <c r="P139" s="100"/>
      <c r="R139" s="100"/>
    </row>
    <row r="140" spans="1:27" s="1" customFormat="1" ht="13.5" customHeight="1" x14ac:dyDescent="0.25">
      <c r="A140" s="155" t="s">
        <v>14</v>
      </c>
      <c r="B140" s="162">
        <f t="shared" ca="1" si="18"/>
        <v>46114</v>
      </c>
      <c r="C140" s="162"/>
      <c r="D140" s="163">
        <f t="shared" ca="1" si="15"/>
        <v>12</v>
      </c>
      <c r="E140" s="88">
        <v>46102</v>
      </c>
      <c r="F140" s="88" t="s">
        <v>879</v>
      </c>
      <c r="G140" s="155" t="s">
        <v>770</v>
      </c>
      <c r="H140" s="99"/>
      <c r="I140" s="99">
        <v>9751</v>
      </c>
      <c r="J140" s="99"/>
      <c r="K140" s="67"/>
      <c r="L140" s="67">
        <f t="shared" si="16"/>
        <v>9751</v>
      </c>
      <c r="M140" s="17" t="s">
        <v>6</v>
      </c>
      <c r="N140" s="132"/>
      <c r="O140" s="80"/>
      <c r="P140" s="100"/>
      <c r="R140" s="100"/>
      <c r="U140" s="151"/>
      <c r="V140" s="151"/>
    </row>
    <row r="141" spans="1:27" s="1" customFormat="1" ht="13.5" customHeight="1" x14ac:dyDescent="0.25">
      <c r="A141" s="155" t="s">
        <v>218</v>
      </c>
      <c r="B141" s="162">
        <f t="shared" ca="1" si="18"/>
        <v>46114</v>
      </c>
      <c r="C141" s="162"/>
      <c r="D141" s="163">
        <f t="shared" ca="1" si="15"/>
        <v>6</v>
      </c>
      <c r="E141" s="88">
        <v>46108</v>
      </c>
      <c r="F141" s="88" t="s">
        <v>880</v>
      </c>
      <c r="G141" s="155" t="s">
        <v>770</v>
      </c>
      <c r="H141" s="99"/>
      <c r="I141" s="99">
        <v>75243</v>
      </c>
      <c r="J141" s="99"/>
      <c r="K141" s="67"/>
      <c r="L141" s="67">
        <f t="shared" si="16"/>
        <v>75243</v>
      </c>
      <c r="M141" s="17" t="s">
        <v>6</v>
      </c>
      <c r="N141" s="132"/>
      <c r="O141" s="80"/>
      <c r="P141" s="100"/>
      <c r="R141" s="100"/>
    </row>
    <row r="142" spans="1:27" s="1" customFormat="1" ht="13.5" customHeight="1" x14ac:dyDescent="0.25">
      <c r="A142" s="155" t="s">
        <v>768</v>
      </c>
      <c r="B142" s="162">
        <f t="shared" ca="1" si="18"/>
        <v>46114</v>
      </c>
      <c r="C142" s="162"/>
      <c r="D142" s="163">
        <f t="shared" ca="1" si="15"/>
        <v>6</v>
      </c>
      <c r="E142" s="88">
        <v>46108</v>
      </c>
      <c r="F142" s="88" t="s">
        <v>881</v>
      </c>
      <c r="G142" s="155" t="s">
        <v>770</v>
      </c>
      <c r="H142" s="99"/>
      <c r="I142" s="99">
        <v>5948</v>
      </c>
      <c r="J142" s="99"/>
      <c r="K142" s="67"/>
      <c r="L142" s="67">
        <f t="shared" si="16"/>
        <v>5948</v>
      </c>
      <c r="M142" s="17" t="s">
        <v>6</v>
      </c>
      <c r="N142" s="132"/>
      <c r="O142" s="80"/>
      <c r="P142" s="100"/>
      <c r="R142" s="100"/>
    </row>
    <row r="143" spans="1:27" s="2" customFormat="1" ht="14.1" customHeight="1" x14ac:dyDescent="0.25">
      <c r="A143" s="19"/>
      <c r="B143" s="162"/>
      <c r="C143" s="162"/>
      <c r="D143" s="19"/>
      <c r="E143" s="20"/>
      <c r="F143" s="19"/>
      <c r="G143" s="19"/>
      <c r="H143" s="69">
        <f>SUM(H115:H142)</f>
        <v>334943</v>
      </c>
      <c r="I143" s="69">
        <f>SUM(I115:I142)</f>
        <v>232499</v>
      </c>
      <c r="J143" s="69">
        <f>SUM(J115:J142)</f>
        <v>0</v>
      </c>
      <c r="K143" s="69">
        <f>SUM(K115:K142)</f>
        <v>140111</v>
      </c>
      <c r="L143" s="69">
        <f>SUM(L115:L142)</f>
        <v>427331</v>
      </c>
      <c r="M143" s="69">
        <f>COUNTIF(L115:L139,"&gt;0")</f>
        <v>18</v>
      </c>
      <c r="N143" s="27"/>
      <c r="O143" s="179" t="s">
        <v>27</v>
      </c>
      <c r="P143" s="7"/>
      <c r="R143" s="156"/>
      <c r="S143" s="156"/>
      <c r="T143" s="156"/>
      <c r="U143" s="156"/>
      <c r="V143" s="156"/>
      <c r="W143" s="156"/>
      <c r="X143" s="156"/>
      <c r="AA143" s="15"/>
    </row>
    <row r="144" spans="1:27" s="1" customFormat="1" ht="14.1" customHeight="1" x14ac:dyDescent="0.25">
      <c r="A144" s="17" t="s">
        <v>449</v>
      </c>
      <c r="B144" s="162">
        <f t="shared" ca="1" si="18"/>
        <v>46114</v>
      </c>
      <c r="C144" s="162"/>
      <c r="D144" s="163">
        <f t="shared" ref="D144:D181" ca="1" si="19">B144-E144</f>
        <v>169</v>
      </c>
      <c r="E144" s="88">
        <v>45945</v>
      </c>
      <c r="F144" s="17" t="s">
        <v>450</v>
      </c>
      <c r="G144" s="17" t="s">
        <v>7</v>
      </c>
      <c r="H144" s="99">
        <v>102</v>
      </c>
      <c r="I144" s="99"/>
      <c r="J144" s="99">
        <v>102</v>
      </c>
      <c r="K144" s="99"/>
      <c r="L144" s="67">
        <f t="shared" ref="L144:L181" si="20">+H144+I144-K144-J144</f>
        <v>0</v>
      </c>
      <c r="M144" s="17" t="s">
        <v>15</v>
      </c>
      <c r="N144" s="106">
        <v>153</v>
      </c>
      <c r="O144" s="80" t="s">
        <v>24</v>
      </c>
      <c r="P144" s="100">
        <v>46098</v>
      </c>
      <c r="Q144" s="1">
        <f t="shared" ref="Q144:Q163" si="21">IF(L144=0,0,P144-E144)</f>
        <v>0</v>
      </c>
      <c r="R144" s="100"/>
    </row>
    <row r="145" spans="1:18" s="1" customFormat="1" ht="14.1" customHeight="1" x14ac:dyDescent="0.25">
      <c r="A145" s="17" t="s">
        <v>95</v>
      </c>
      <c r="B145" s="162">
        <f t="shared" ca="1" si="18"/>
        <v>46114</v>
      </c>
      <c r="C145" s="162"/>
      <c r="D145" s="163">
        <f t="shared" ca="1" si="19"/>
        <v>143</v>
      </c>
      <c r="E145" s="88">
        <v>45971</v>
      </c>
      <c r="F145" s="17" t="s">
        <v>463</v>
      </c>
      <c r="G145" s="17" t="s">
        <v>263</v>
      </c>
      <c r="H145" s="99">
        <v>57835</v>
      </c>
      <c r="I145" s="99"/>
      <c r="J145" s="99"/>
      <c r="K145" s="99"/>
      <c r="L145" s="67">
        <f t="shared" si="20"/>
        <v>57835</v>
      </c>
      <c r="M145" s="17" t="s">
        <v>15</v>
      </c>
      <c r="N145" s="106">
        <v>127</v>
      </c>
      <c r="O145" s="80" t="s">
        <v>25</v>
      </c>
      <c r="P145" s="100">
        <v>46098</v>
      </c>
      <c r="Q145" s="1">
        <f t="shared" si="21"/>
        <v>127</v>
      </c>
      <c r="R145" s="100"/>
    </row>
    <row r="146" spans="1:18" s="1" customFormat="1" ht="14.1" customHeight="1" x14ac:dyDescent="0.25">
      <c r="A146" s="17" t="s">
        <v>258</v>
      </c>
      <c r="B146" s="162">
        <f t="shared" ca="1" si="18"/>
        <v>46114</v>
      </c>
      <c r="C146" s="162"/>
      <c r="D146" s="163">
        <f t="shared" ca="1" si="19"/>
        <v>138</v>
      </c>
      <c r="E146" s="88">
        <v>45976</v>
      </c>
      <c r="F146" s="17" t="s">
        <v>480</v>
      </c>
      <c r="G146" s="17" t="s">
        <v>7</v>
      </c>
      <c r="H146" s="99">
        <v>9680</v>
      </c>
      <c r="I146" s="99"/>
      <c r="J146" s="99"/>
      <c r="K146" s="99"/>
      <c r="L146" s="67">
        <f t="shared" si="20"/>
        <v>9680</v>
      </c>
      <c r="M146" s="17" t="s">
        <v>15</v>
      </c>
      <c r="N146" s="106">
        <v>122</v>
      </c>
      <c r="O146" s="80" t="s">
        <v>24</v>
      </c>
      <c r="P146" s="100">
        <v>46098</v>
      </c>
      <c r="Q146" s="1">
        <f t="shared" si="21"/>
        <v>122</v>
      </c>
      <c r="R146" s="100"/>
    </row>
    <row r="147" spans="1:18" s="1" customFormat="1" ht="14.1" customHeight="1" x14ac:dyDescent="0.25">
      <c r="A147" s="17" t="s">
        <v>258</v>
      </c>
      <c r="B147" s="162">
        <f t="shared" ca="1" si="18"/>
        <v>46114</v>
      </c>
      <c r="C147" s="162"/>
      <c r="D147" s="163">
        <f t="shared" ca="1" si="19"/>
        <v>131</v>
      </c>
      <c r="E147" s="88">
        <v>45983</v>
      </c>
      <c r="F147" s="17" t="s">
        <v>486</v>
      </c>
      <c r="G147" s="17" t="s">
        <v>22</v>
      </c>
      <c r="H147" s="99">
        <v>6457</v>
      </c>
      <c r="I147" s="99"/>
      <c r="J147" s="99"/>
      <c r="K147" s="99"/>
      <c r="L147" s="67">
        <f t="shared" si="20"/>
        <v>6457</v>
      </c>
      <c r="M147" s="17" t="s">
        <v>15</v>
      </c>
      <c r="N147" s="106">
        <v>115</v>
      </c>
      <c r="O147" s="80" t="s">
        <v>24</v>
      </c>
      <c r="P147" s="100">
        <v>46098</v>
      </c>
      <c r="Q147" s="1">
        <f t="shared" si="21"/>
        <v>115</v>
      </c>
      <c r="R147" s="100"/>
    </row>
    <row r="148" spans="1:18" s="1" customFormat="1" ht="14.1" customHeight="1" x14ac:dyDescent="0.25">
      <c r="A148" s="17" t="s">
        <v>95</v>
      </c>
      <c r="B148" s="162">
        <f t="shared" ca="1" si="18"/>
        <v>46114</v>
      </c>
      <c r="C148" s="162"/>
      <c r="D148" s="163">
        <f t="shared" ca="1" si="19"/>
        <v>114</v>
      </c>
      <c r="E148" s="88">
        <v>46000</v>
      </c>
      <c r="F148" s="17" t="s">
        <v>503</v>
      </c>
      <c r="G148" s="17" t="s">
        <v>263</v>
      </c>
      <c r="H148" s="99">
        <v>208152</v>
      </c>
      <c r="I148" s="99"/>
      <c r="J148" s="99"/>
      <c r="K148" s="99"/>
      <c r="L148" s="67">
        <f t="shared" si="20"/>
        <v>208152</v>
      </c>
      <c r="M148" s="17" t="s">
        <v>15</v>
      </c>
      <c r="N148" s="106">
        <v>98</v>
      </c>
      <c r="O148" s="80" t="s">
        <v>25</v>
      </c>
      <c r="P148" s="100">
        <v>46098</v>
      </c>
      <c r="Q148" s="1">
        <f t="shared" si="21"/>
        <v>98</v>
      </c>
      <c r="R148" s="100"/>
    </row>
    <row r="149" spans="1:18" s="1" customFormat="1" ht="14.1" customHeight="1" x14ac:dyDescent="0.25">
      <c r="A149" s="17" t="s">
        <v>258</v>
      </c>
      <c r="B149" s="162">
        <f t="shared" ca="1" si="18"/>
        <v>46114</v>
      </c>
      <c r="C149" s="162"/>
      <c r="D149" s="163">
        <f t="shared" ca="1" si="19"/>
        <v>108</v>
      </c>
      <c r="E149" s="88">
        <v>46006</v>
      </c>
      <c r="F149" s="17" t="s">
        <v>531</v>
      </c>
      <c r="G149" s="17" t="s">
        <v>7</v>
      </c>
      <c r="H149" s="99">
        <v>9381</v>
      </c>
      <c r="I149" s="99"/>
      <c r="J149" s="99"/>
      <c r="K149" s="99"/>
      <c r="L149" s="67">
        <f t="shared" si="20"/>
        <v>9381</v>
      </c>
      <c r="M149" s="17" t="s">
        <v>15</v>
      </c>
      <c r="N149" s="106">
        <v>92</v>
      </c>
      <c r="O149" s="80" t="s">
        <v>24</v>
      </c>
      <c r="P149" s="100">
        <v>46098</v>
      </c>
      <c r="Q149" s="1">
        <f t="shared" si="21"/>
        <v>92</v>
      </c>
      <c r="R149" s="100"/>
    </row>
    <row r="150" spans="1:18" s="1" customFormat="1" ht="14.1" customHeight="1" x14ac:dyDescent="0.25">
      <c r="A150" s="17" t="s">
        <v>10</v>
      </c>
      <c r="B150" s="162">
        <f t="shared" ca="1" si="18"/>
        <v>46114</v>
      </c>
      <c r="C150" s="162"/>
      <c r="D150" s="163">
        <f t="shared" ca="1" si="19"/>
        <v>84</v>
      </c>
      <c r="E150" s="88">
        <v>46030</v>
      </c>
      <c r="F150" s="17" t="s">
        <v>582</v>
      </c>
      <c r="G150" s="17" t="s">
        <v>368</v>
      </c>
      <c r="H150" s="99">
        <v>39825</v>
      </c>
      <c r="I150" s="99"/>
      <c r="J150" s="99"/>
      <c r="K150" s="99"/>
      <c r="L150" s="67">
        <f t="shared" si="20"/>
        <v>39825</v>
      </c>
      <c r="M150" s="17" t="s">
        <v>15</v>
      </c>
      <c r="N150" s="106">
        <v>68</v>
      </c>
      <c r="O150" s="80" t="s">
        <v>25</v>
      </c>
      <c r="P150" s="100">
        <v>46098</v>
      </c>
      <c r="Q150" s="1">
        <f t="shared" si="21"/>
        <v>68</v>
      </c>
      <c r="R150" s="100"/>
    </row>
    <row r="151" spans="1:18" s="1" customFormat="1" ht="14.1" customHeight="1" x14ac:dyDescent="0.25">
      <c r="A151" s="17" t="s">
        <v>258</v>
      </c>
      <c r="B151" s="162">
        <f t="shared" ca="1" si="18"/>
        <v>46114</v>
      </c>
      <c r="C151" s="162"/>
      <c r="D151" s="163">
        <f t="shared" ca="1" si="19"/>
        <v>78</v>
      </c>
      <c r="E151" s="88">
        <v>46036</v>
      </c>
      <c r="F151" s="17" t="s">
        <v>621</v>
      </c>
      <c r="G151" s="17" t="s">
        <v>7</v>
      </c>
      <c r="H151" s="99">
        <v>10004</v>
      </c>
      <c r="I151" s="99"/>
      <c r="J151" s="99"/>
      <c r="K151" s="99"/>
      <c r="L151" s="67">
        <f t="shared" si="20"/>
        <v>10004</v>
      </c>
      <c r="M151" s="17" t="s">
        <v>15</v>
      </c>
      <c r="N151" s="106">
        <v>62</v>
      </c>
      <c r="O151" s="80" t="s">
        <v>24</v>
      </c>
      <c r="P151" s="100">
        <v>46098</v>
      </c>
      <c r="Q151" s="1">
        <f t="shared" si="21"/>
        <v>62</v>
      </c>
      <c r="R151" s="100"/>
    </row>
    <row r="152" spans="1:18" s="1" customFormat="1" ht="14.1" customHeight="1" x14ac:dyDescent="0.25">
      <c r="A152" s="17" t="s">
        <v>654</v>
      </c>
      <c r="B152" s="162">
        <f t="shared" ca="1" si="18"/>
        <v>46114</v>
      </c>
      <c r="C152" s="162"/>
      <c r="D152" s="163">
        <f t="shared" ca="1" si="19"/>
        <v>63</v>
      </c>
      <c r="E152" s="88">
        <v>46051</v>
      </c>
      <c r="F152" s="17" t="s">
        <v>655</v>
      </c>
      <c r="G152" s="17" t="s">
        <v>281</v>
      </c>
      <c r="H152" s="99">
        <v>2360</v>
      </c>
      <c r="I152" s="99"/>
      <c r="J152" s="99"/>
      <c r="K152" s="99"/>
      <c r="L152" s="67">
        <f t="shared" si="20"/>
        <v>2360</v>
      </c>
      <c r="M152" s="17" t="s">
        <v>15</v>
      </c>
      <c r="N152" s="106">
        <v>47</v>
      </c>
      <c r="O152" s="80" t="s">
        <v>25</v>
      </c>
      <c r="P152" s="100">
        <v>46098</v>
      </c>
      <c r="Q152" s="1">
        <f t="shared" si="21"/>
        <v>47</v>
      </c>
      <c r="R152" s="100"/>
    </row>
    <row r="153" spans="1:18" s="1" customFormat="1" ht="14.1" customHeight="1" x14ac:dyDescent="0.25">
      <c r="A153" s="17" t="s">
        <v>654</v>
      </c>
      <c r="B153" s="162">
        <f t="shared" ca="1" si="18"/>
        <v>46114</v>
      </c>
      <c r="C153" s="162"/>
      <c r="D153" s="163">
        <f t="shared" ca="1" si="19"/>
        <v>63</v>
      </c>
      <c r="E153" s="88">
        <v>46051</v>
      </c>
      <c r="F153" s="17" t="s">
        <v>655</v>
      </c>
      <c r="G153" s="17" t="s">
        <v>13</v>
      </c>
      <c r="H153" s="99">
        <v>17110</v>
      </c>
      <c r="I153" s="99"/>
      <c r="J153" s="99"/>
      <c r="K153" s="99"/>
      <c r="L153" s="67">
        <f t="shared" si="20"/>
        <v>17110</v>
      </c>
      <c r="M153" s="17" t="s">
        <v>15</v>
      </c>
      <c r="N153" s="106">
        <v>47</v>
      </c>
      <c r="O153" s="80" t="s">
        <v>26</v>
      </c>
      <c r="P153" s="100">
        <v>46098</v>
      </c>
      <c r="Q153" s="1">
        <f t="shared" si="21"/>
        <v>47</v>
      </c>
      <c r="R153" s="100"/>
    </row>
    <row r="154" spans="1:18" s="1" customFormat="1" ht="14.1" customHeight="1" x14ac:dyDescent="0.25">
      <c r="A154" s="17" t="s">
        <v>340</v>
      </c>
      <c r="B154" s="162">
        <f t="shared" ca="1" si="18"/>
        <v>46114</v>
      </c>
      <c r="C154" s="162"/>
      <c r="D154" s="163">
        <f t="shared" ca="1" si="19"/>
        <v>61</v>
      </c>
      <c r="E154" s="88">
        <v>46053</v>
      </c>
      <c r="F154" s="17" t="s">
        <v>668</v>
      </c>
      <c r="G154" s="17" t="s">
        <v>7</v>
      </c>
      <c r="H154" s="99">
        <v>10295</v>
      </c>
      <c r="I154" s="99"/>
      <c r="J154" s="99"/>
      <c r="K154" s="99"/>
      <c r="L154" s="67">
        <f t="shared" si="20"/>
        <v>10295</v>
      </c>
      <c r="M154" s="17" t="s">
        <v>15</v>
      </c>
      <c r="N154" s="106">
        <v>45</v>
      </c>
      <c r="O154" s="80" t="s">
        <v>24</v>
      </c>
      <c r="P154" s="100">
        <v>46098</v>
      </c>
      <c r="Q154" s="1">
        <f t="shared" si="21"/>
        <v>45</v>
      </c>
      <c r="R154" s="100"/>
    </row>
    <row r="155" spans="1:18" s="1" customFormat="1" ht="14.1" customHeight="1" x14ac:dyDescent="0.25">
      <c r="A155" s="17" t="s">
        <v>676</v>
      </c>
      <c r="B155" s="162">
        <f t="shared" ca="1" si="18"/>
        <v>46114</v>
      </c>
      <c r="C155" s="162"/>
      <c r="D155" s="163">
        <f t="shared" ca="1" si="19"/>
        <v>55</v>
      </c>
      <c r="E155" s="88">
        <v>46059</v>
      </c>
      <c r="F155" s="17" t="s">
        <v>677</v>
      </c>
      <c r="G155" s="17" t="s">
        <v>13</v>
      </c>
      <c r="H155" s="99">
        <v>42321</v>
      </c>
      <c r="I155" s="99"/>
      <c r="J155" s="99"/>
      <c r="K155" s="99"/>
      <c r="L155" s="67">
        <f t="shared" si="20"/>
        <v>42321</v>
      </c>
      <c r="M155" s="17" t="s">
        <v>15</v>
      </c>
      <c r="N155" s="106">
        <v>39</v>
      </c>
      <c r="O155" s="80" t="s">
        <v>26</v>
      </c>
      <c r="P155" s="100">
        <v>46098</v>
      </c>
      <c r="Q155" s="1">
        <f t="shared" si="21"/>
        <v>39</v>
      </c>
      <c r="R155" s="100"/>
    </row>
    <row r="156" spans="1:18" s="1" customFormat="1" ht="14.1" customHeight="1" x14ac:dyDescent="0.25">
      <c r="A156" s="17" t="s">
        <v>162</v>
      </c>
      <c r="B156" s="162">
        <f t="shared" ca="1" si="18"/>
        <v>46114</v>
      </c>
      <c r="C156" s="162"/>
      <c r="D156" s="163">
        <f t="shared" ca="1" si="19"/>
        <v>50</v>
      </c>
      <c r="E156" s="88">
        <v>46064</v>
      </c>
      <c r="F156" s="17" t="s">
        <v>700</v>
      </c>
      <c r="G156" s="17" t="s">
        <v>7</v>
      </c>
      <c r="H156" s="99">
        <v>16907</v>
      </c>
      <c r="I156" s="99"/>
      <c r="J156" s="99"/>
      <c r="K156" s="99"/>
      <c r="L156" s="67">
        <f t="shared" si="20"/>
        <v>16907</v>
      </c>
      <c r="M156" s="17" t="s">
        <v>15</v>
      </c>
      <c r="N156" s="106">
        <v>34</v>
      </c>
      <c r="O156" s="80" t="s">
        <v>24</v>
      </c>
      <c r="P156" s="100">
        <v>46098</v>
      </c>
      <c r="Q156" s="1">
        <f t="shared" si="21"/>
        <v>34</v>
      </c>
      <c r="R156" s="100"/>
    </row>
    <row r="157" spans="1:18" s="1" customFormat="1" ht="14.1" customHeight="1" x14ac:dyDescent="0.25">
      <c r="A157" s="17" t="s">
        <v>258</v>
      </c>
      <c r="B157" s="162">
        <f t="shared" ca="1" si="18"/>
        <v>46114</v>
      </c>
      <c r="C157" s="162"/>
      <c r="D157" s="163">
        <f t="shared" ca="1" si="19"/>
        <v>50</v>
      </c>
      <c r="E157" s="88">
        <v>46064</v>
      </c>
      <c r="F157" s="17" t="s">
        <v>701</v>
      </c>
      <c r="G157" s="17" t="s">
        <v>7</v>
      </c>
      <c r="H157" s="99">
        <v>9887</v>
      </c>
      <c r="I157" s="99"/>
      <c r="J157" s="99"/>
      <c r="K157" s="99"/>
      <c r="L157" s="67">
        <f t="shared" si="20"/>
        <v>9887</v>
      </c>
      <c r="M157" s="17" t="s">
        <v>15</v>
      </c>
      <c r="N157" s="106">
        <v>34</v>
      </c>
      <c r="O157" s="80" t="s">
        <v>24</v>
      </c>
      <c r="P157" s="100">
        <v>46098</v>
      </c>
      <c r="Q157" s="1">
        <f t="shared" si="21"/>
        <v>34</v>
      </c>
      <c r="R157" s="100"/>
    </row>
    <row r="158" spans="1:18" s="1" customFormat="1" ht="14.1" customHeight="1" x14ac:dyDescent="0.25">
      <c r="A158" s="17" t="s">
        <v>451</v>
      </c>
      <c r="B158" s="162">
        <f t="shared" ca="1" si="18"/>
        <v>46114</v>
      </c>
      <c r="C158" s="162"/>
      <c r="D158" s="163">
        <f t="shared" ca="1" si="19"/>
        <v>50</v>
      </c>
      <c r="E158" s="88">
        <v>46064</v>
      </c>
      <c r="F158" s="17" t="s">
        <v>702</v>
      </c>
      <c r="G158" s="17" t="s">
        <v>7</v>
      </c>
      <c r="H158" s="99">
        <v>24760</v>
      </c>
      <c r="I158" s="99"/>
      <c r="J158" s="99"/>
      <c r="K158" s="99">
        <v>24760</v>
      </c>
      <c r="L158" s="67">
        <f t="shared" si="20"/>
        <v>0</v>
      </c>
      <c r="M158" s="17" t="s">
        <v>15</v>
      </c>
      <c r="N158" s="106">
        <v>34</v>
      </c>
      <c r="O158" s="80" t="s">
        <v>24</v>
      </c>
      <c r="P158" s="100">
        <v>46098</v>
      </c>
      <c r="Q158" s="1">
        <f t="shared" si="21"/>
        <v>0</v>
      </c>
      <c r="R158" s="100"/>
    </row>
    <row r="159" spans="1:18" s="1" customFormat="1" ht="14.1" customHeight="1" x14ac:dyDescent="0.25">
      <c r="A159" s="17" t="s">
        <v>559</v>
      </c>
      <c r="B159" s="162">
        <f t="shared" ca="1" si="18"/>
        <v>46114</v>
      </c>
      <c r="C159" s="162"/>
      <c r="D159" s="163">
        <f t="shared" ca="1" si="19"/>
        <v>43</v>
      </c>
      <c r="E159" s="88">
        <v>46071</v>
      </c>
      <c r="F159" s="17" t="s">
        <v>709</v>
      </c>
      <c r="G159" s="17" t="s">
        <v>13</v>
      </c>
      <c r="H159" s="99">
        <v>19824</v>
      </c>
      <c r="I159" s="99"/>
      <c r="J159" s="99"/>
      <c r="K159" s="99"/>
      <c r="L159" s="67">
        <f t="shared" si="20"/>
        <v>19824</v>
      </c>
      <c r="M159" s="17" t="s">
        <v>15</v>
      </c>
      <c r="N159" s="106">
        <v>27</v>
      </c>
      <c r="O159" s="80" t="s">
        <v>26</v>
      </c>
      <c r="P159" s="100">
        <v>46098</v>
      </c>
      <c r="Q159" s="1">
        <f t="shared" si="21"/>
        <v>27</v>
      </c>
      <c r="R159" s="100"/>
    </row>
    <row r="160" spans="1:18" s="1" customFormat="1" ht="14.1" customHeight="1" x14ac:dyDescent="0.25">
      <c r="A160" s="17" t="s">
        <v>10</v>
      </c>
      <c r="B160" s="162">
        <f t="shared" ca="1" si="18"/>
        <v>46114</v>
      </c>
      <c r="C160" s="162"/>
      <c r="D160" s="163">
        <f t="shared" ca="1" si="19"/>
        <v>31</v>
      </c>
      <c r="E160" s="88">
        <v>46083</v>
      </c>
      <c r="F160" s="17" t="s">
        <v>733</v>
      </c>
      <c r="G160" s="17" t="s">
        <v>11</v>
      </c>
      <c r="H160" s="99">
        <v>33439</v>
      </c>
      <c r="I160" s="99"/>
      <c r="J160" s="99"/>
      <c r="K160" s="99"/>
      <c r="L160" s="67">
        <f t="shared" si="20"/>
        <v>33439</v>
      </c>
      <c r="M160" s="17" t="s">
        <v>15</v>
      </c>
      <c r="N160" s="106">
        <v>15</v>
      </c>
      <c r="O160" s="80" t="s">
        <v>411</v>
      </c>
      <c r="P160" s="100">
        <v>46098</v>
      </c>
      <c r="Q160" s="1">
        <f t="shared" si="21"/>
        <v>15</v>
      </c>
      <c r="R160" s="100"/>
    </row>
    <row r="161" spans="1:18" s="1" customFormat="1" ht="14.1" customHeight="1" x14ac:dyDescent="0.25">
      <c r="A161" s="17" t="s">
        <v>734</v>
      </c>
      <c r="B161" s="162">
        <f t="shared" ca="1" si="18"/>
        <v>46114</v>
      </c>
      <c r="C161" s="162"/>
      <c r="D161" s="163">
        <f t="shared" ca="1" si="19"/>
        <v>28</v>
      </c>
      <c r="E161" s="88">
        <v>46086</v>
      </c>
      <c r="F161" s="17" t="s">
        <v>735</v>
      </c>
      <c r="G161" s="17" t="s">
        <v>13</v>
      </c>
      <c r="H161" s="99">
        <v>6457</v>
      </c>
      <c r="I161" s="99"/>
      <c r="J161" s="99"/>
      <c r="K161" s="99"/>
      <c r="L161" s="67">
        <f t="shared" si="20"/>
        <v>6457</v>
      </c>
      <c r="M161" s="17" t="s">
        <v>15</v>
      </c>
      <c r="N161" s="106">
        <v>12</v>
      </c>
      <c r="O161" s="80" t="s">
        <v>26</v>
      </c>
      <c r="P161" s="100">
        <v>46098</v>
      </c>
      <c r="Q161" s="1">
        <f t="shared" si="21"/>
        <v>12</v>
      </c>
      <c r="R161" s="100"/>
    </row>
    <row r="162" spans="1:18" s="1" customFormat="1" ht="14.1" customHeight="1" x14ac:dyDescent="0.25">
      <c r="A162" s="17" t="s">
        <v>95</v>
      </c>
      <c r="B162" s="162">
        <f t="shared" ca="1" si="18"/>
        <v>46114</v>
      </c>
      <c r="C162" s="162"/>
      <c r="D162" s="163">
        <f t="shared" ca="1" si="19"/>
        <v>28</v>
      </c>
      <c r="E162" s="88">
        <v>46086</v>
      </c>
      <c r="F162" s="17" t="s">
        <v>736</v>
      </c>
      <c r="G162" s="17" t="s">
        <v>263</v>
      </c>
      <c r="H162" s="99">
        <v>263633</v>
      </c>
      <c r="I162" s="99"/>
      <c r="J162" s="99"/>
      <c r="K162" s="99"/>
      <c r="L162" s="67">
        <f t="shared" si="20"/>
        <v>263633</v>
      </c>
      <c r="M162" s="17" t="s">
        <v>15</v>
      </c>
      <c r="N162" s="106">
        <v>12</v>
      </c>
      <c r="O162" s="80" t="s">
        <v>25</v>
      </c>
      <c r="P162" s="100">
        <v>46098</v>
      </c>
      <c r="Q162" s="1">
        <f t="shared" si="21"/>
        <v>12</v>
      </c>
      <c r="R162" s="100"/>
    </row>
    <row r="163" spans="1:18" s="1" customFormat="1" ht="14.1" customHeight="1" x14ac:dyDescent="0.25">
      <c r="A163" s="17" t="s">
        <v>779</v>
      </c>
      <c r="B163" s="162">
        <f t="shared" ca="1" si="18"/>
        <v>46114</v>
      </c>
      <c r="C163" s="162"/>
      <c r="D163" s="163">
        <f t="shared" ca="1" si="19"/>
        <v>23</v>
      </c>
      <c r="E163" s="88">
        <v>46091</v>
      </c>
      <c r="F163" s="17" t="s">
        <v>752</v>
      </c>
      <c r="G163" s="17" t="s">
        <v>656</v>
      </c>
      <c r="H163" s="99">
        <v>8101</v>
      </c>
      <c r="I163" s="99"/>
      <c r="J163" s="99">
        <v>138</v>
      </c>
      <c r="K163" s="99">
        <v>7963</v>
      </c>
      <c r="L163" s="67">
        <f t="shared" si="20"/>
        <v>0</v>
      </c>
      <c r="M163" s="17" t="s">
        <v>15</v>
      </c>
      <c r="N163" s="106">
        <v>7</v>
      </c>
      <c r="O163" s="80" t="s">
        <v>26</v>
      </c>
      <c r="P163" s="100">
        <v>46098</v>
      </c>
      <c r="Q163" s="1">
        <f t="shared" si="21"/>
        <v>0</v>
      </c>
      <c r="R163" s="100"/>
    </row>
    <row r="164" spans="1:18" s="1" customFormat="1" ht="14.1" customHeight="1" x14ac:dyDescent="0.25">
      <c r="A164" s="17" t="s">
        <v>638</v>
      </c>
      <c r="B164" s="162">
        <f t="shared" ca="1" si="18"/>
        <v>46114</v>
      </c>
      <c r="C164" s="162"/>
      <c r="D164" s="163">
        <f t="shared" ca="1" si="19"/>
        <v>14</v>
      </c>
      <c r="E164" s="88">
        <v>46100</v>
      </c>
      <c r="F164" s="17" t="s">
        <v>804</v>
      </c>
      <c r="G164" s="17" t="s">
        <v>7</v>
      </c>
      <c r="H164" s="99"/>
      <c r="I164" s="99">
        <v>7950</v>
      </c>
      <c r="J164" s="99"/>
      <c r="K164" s="99">
        <v>7950</v>
      </c>
      <c r="L164" s="67">
        <f t="shared" si="20"/>
        <v>0</v>
      </c>
      <c r="M164" s="17" t="s">
        <v>15</v>
      </c>
      <c r="N164" s="106"/>
      <c r="O164" s="80" t="s">
        <v>24</v>
      </c>
      <c r="P164" s="100"/>
      <c r="R164" s="100"/>
    </row>
    <row r="165" spans="1:18" s="1" customFormat="1" ht="14.1" customHeight="1" x14ac:dyDescent="0.25">
      <c r="A165" s="17" t="s">
        <v>640</v>
      </c>
      <c r="B165" s="162">
        <f t="shared" ca="1" si="18"/>
        <v>46114</v>
      </c>
      <c r="C165" s="162"/>
      <c r="D165" s="163">
        <f t="shared" ca="1" si="19"/>
        <v>13</v>
      </c>
      <c r="E165" s="88">
        <v>46101</v>
      </c>
      <c r="F165" s="17" t="s">
        <v>805</v>
      </c>
      <c r="G165" s="17" t="s">
        <v>7</v>
      </c>
      <c r="H165" s="99"/>
      <c r="I165" s="99">
        <v>31039</v>
      </c>
      <c r="J165" s="99"/>
      <c r="K165" s="99"/>
      <c r="L165" s="67">
        <f t="shared" si="20"/>
        <v>31039</v>
      </c>
      <c r="M165" s="17" t="s">
        <v>15</v>
      </c>
      <c r="N165" s="106"/>
      <c r="O165" s="80" t="s">
        <v>24</v>
      </c>
      <c r="P165" s="100"/>
      <c r="R165" s="100"/>
    </row>
    <row r="166" spans="1:18" s="1" customFormat="1" ht="14.1" customHeight="1" x14ac:dyDescent="0.25">
      <c r="A166" s="17" t="s">
        <v>481</v>
      </c>
      <c r="B166" s="162">
        <f t="shared" ca="1" si="18"/>
        <v>46114</v>
      </c>
      <c r="C166" s="162"/>
      <c r="D166" s="163">
        <f t="shared" ca="1" si="19"/>
        <v>13</v>
      </c>
      <c r="E166" s="88">
        <v>46101</v>
      </c>
      <c r="F166" s="17" t="s">
        <v>806</v>
      </c>
      <c r="G166" s="17" t="s">
        <v>7</v>
      </c>
      <c r="H166" s="99"/>
      <c r="I166" s="99">
        <v>47587</v>
      </c>
      <c r="J166" s="99"/>
      <c r="K166" s="99"/>
      <c r="L166" s="67">
        <f t="shared" si="20"/>
        <v>47587</v>
      </c>
      <c r="M166" s="17" t="s">
        <v>15</v>
      </c>
      <c r="N166" s="106"/>
      <c r="O166" s="80" t="s">
        <v>24</v>
      </c>
      <c r="P166" s="100"/>
      <c r="R166" s="100"/>
    </row>
    <row r="167" spans="1:18" s="1" customFormat="1" ht="14.1" customHeight="1" x14ac:dyDescent="0.25">
      <c r="A167" s="17" t="s">
        <v>166</v>
      </c>
      <c r="B167" s="162">
        <f t="shared" ca="1" si="18"/>
        <v>46114</v>
      </c>
      <c r="C167" s="162"/>
      <c r="D167" s="163">
        <f t="shared" ca="1" si="19"/>
        <v>13</v>
      </c>
      <c r="E167" s="88">
        <v>46101</v>
      </c>
      <c r="F167" s="17" t="s">
        <v>807</v>
      </c>
      <c r="G167" s="17" t="s">
        <v>7</v>
      </c>
      <c r="H167" s="99"/>
      <c r="I167" s="99">
        <v>5200</v>
      </c>
      <c r="J167" s="99"/>
      <c r="K167" s="99"/>
      <c r="L167" s="67">
        <f t="shared" si="20"/>
        <v>5200</v>
      </c>
      <c r="M167" s="17" t="s">
        <v>15</v>
      </c>
      <c r="N167" s="106"/>
      <c r="O167" s="80" t="s">
        <v>24</v>
      </c>
      <c r="P167" s="100"/>
      <c r="R167" s="100"/>
    </row>
    <row r="168" spans="1:18" s="1" customFormat="1" ht="14.1" customHeight="1" x14ac:dyDescent="0.25">
      <c r="A168" s="17" t="s">
        <v>272</v>
      </c>
      <c r="B168" s="162">
        <f t="shared" ca="1" si="18"/>
        <v>46114</v>
      </c>
      <c r="C168" s="162"/>
      <c r="D168" s="163">
        <f t="shared" ca="1" si="19"/>
        <v>13</v>
      </c>
      <c r="E168" s="88">
        <v>46101</v>
      </c>
      <c r="F168" s="17" t="s">
        <v>808</v>
      </c>
      <c r="G168" s="17" t="s">
        <v>7</v>
      </c>
      <c r="H168" s="99"/>
      <c r="I168" s="99">
        <v>20916</v>
      </c>
      <c r="J168" s="99">
        <v>178</v>
      </c>
      <c r="K168" s="99">
        <v>20738</v>
      </c>
      <c r="L168" s="67">
        <f t="shared" si="20"/>
        <v>0</v>
      </c>
      <c r="M168" s="17" t="s">
        <v>15</v>
      </c>
      <c r="N168" s="106"/>
      <c r="O168" s="80" t="s">
        <v>24</v>
      </c>
      <c r="P168" s="100"/>
      <c r="R168" s="100"/>
    </row>
    <row r="169" spans="1:18" s="1" customFormat="1" ht="14.1" customHeight="1" x14ac:dyDescent="0.25">
      <c r="A169" s="17" t="s">
        <v>809</v>
      </c>
      <c r="B169" s="162">
        <f t="shared" ca="1" si="18"/>
        <v>46114</v>
      </c>
      <c r="C169" s="162"/>
      <c r="D169" s="163">
        <f t="shared" ca="1" si="19"/>
        <v>13</v>
      </c>
      <c r="E169" s="88">
        <v>46101</v>
      </c>
      <c r="F169" s="17" t="s">
        <v>810</v>
      </c>
      <c r="G169" s="17" t="s">
        <v>7</v>
      </c>
      <c r="H169" s="99"/>
      <c r="I169" s="99">
        <v>1092</v>
      </c>
      <c r="J169" s="99"/>
      <c r="K169" s="99"/>
      <c r="L169" s="67">
        <f t="shared" si="20"/>
        <v>1092</v>
      </c>
      <c r="M169" s="17" t="s">
        <v>15</v>
      </c>
      <c r="N169" s="106"/>
      <c r="O169" s="80" t="s">
        <v>24</v>
      </c>
      <c r="P169" s="100"/>
      <c r="R169" s="100"/>
    </row>
    <row r="170" spans="1:18" s="1" customFormat="1" ht="14.1" customHeight="1" x14ac:dyDescent="0.25">
      <c r="A170" s="17" t="s">
        <v>145</v>
      </c>
      <c r="B170" s="162">
        <f t="shared" ca="1" si="18"/>
        <v>46114</v>
      </c>
      <c r="C170" s="162"/>
      <c r="D170" s="163">
        <f t="shared" ca="1" si="19"/>
        <v>13</v>
      </c>
      <c r="E170" s="88">
        <v>46101</v>
      </c>
      <c r="F170" s="17" t="s">
        <v>811</v>
      </c>
      <c r="G170" s="17" t="s">
        <v>7</v>
      </c>
      <c r="H170" s="99"/>
      <c r="I170" s="99">
        <v>12030</v>
      </c>
      <c r="J170" s="99"/>
      <c r="K170" s="99"/>
      <c r="L170" s="67">
        <f t="shared" si="20"/>
        <v>12030</v>
      </c>
      <c r="M170" s="17" t="s">
        <v>15</v>
      </c>
      <c r="N170" s="106"/>
      <c r="O170" s="80" t="s">
        <v>24</v>
      </c>
      <c r="P170" s="100"/>
      <c r="R170" s="100"/>
    </row>
    <row r="171" spans="1:18" s="1" customFormat="1" ht="14.1" customHeight="1" x14ac:dyDescent="0.25">
      <c r="A171" s="17" t="s">
        <v>828</v>
      </c>
      <c r="B171" s="162">
        <f t="shared" ca="1" si="18"/>
        <v>46114</v>
      </c>
      <c r="C171" s="162"/>
      <c r="D171" s="163">
        <f t="shared" ca="1" si="19"/>
        <v>13</v>
      </c>
      <c r="E171" s="88">
        <v>46101</v>
      </c>
      <c r="F171" s="17" t="s">
        <v>811</v>
      </c>
      <c r="G171" s="17" t="s">
        <v>829</v>
      </c>
      <c r="H171" s="99"/>
      <c r="I171" s="99">
        <v>106200</v>
      </c>
      <c r="J171" s="99"/>
      <c r="K171" s="99"/>
      <c r="L171" s="67">
        <f t="shared" si="20"/>
        <v>106200</v>
      </c>
      <c r="M171" s="17" t="s">
        <v>15</v>
      </c>
      <c r="N171" s="106"/>
      <c r="O171" s="80" t="s">
        <v>25</v>
      </c>
      <c r="P171" s="100"/>
      <c r="R171" s="100"/>
    </row>
    <row r="172" spans="1:18" s="1" customFormat="1" ht="14.1" customHeight="1" x14ac:dyDescent="0.25">
      <c r="A172" s="17" t="s">
        <v>559</v>
      </c>
      <c r="B172" s="162">
        <f t="shared" ca="1" si="18"/>
        <v>46114</v>
      </c>
      <c r="C172" s="162"/>
      <c r="D172" s="163">
        <f t="shared" ca="1" si="19"/>
        <v>13</v>
      </c>
      <c r="E172" s="88">
        <v>46101</v>
      </c>
      <c r="F172" s="17" t="s">
        <v>830</v>
      </c>
      <c r="G172" s="17" t="s">
        <v>13</v>
      </c>
      <c r="H172" s="99"/>
      <c r="I172" s="99">
        <v>3304</v>
      </c>
      <c r="J172" s="99"/>
      <c r="K172" s="99"/>
      <c r="L172" s="67">
        <f t="shared" si="20"/>
        <v>3304</v>
      </c>
      <c r="M172" s="17" t="s">
        <v>15</v>
      </c>
      <c r="N172" s="106"/>
      <c r="O172" s="80" t="s">
        <v>26</v>
      </c>
      <c r="P172" s="100"/>
      <c r="R172" s="100"/>
    </row>
    <row r="173" spans="1:18" s="1" customFormat="1" ht="14.1" customHeight="1" x14ac:dyDescent="0.25">
      <c r="A173" s="17" t="s">
        <v>255</v>
      </c>
      <c r="B173" s="162">
        <f t="shared" ca="1" si="18"/>
        <v>46114</v>
      </c>
      <c r="C173" s="162"/>
      <c r="D173" s="163">
        <f t="shared" ca="1" si="19"/>
        <v>13</v>
      </c>
      <c r="E173" s="88">
        <v>46101</v>
      </c>
      <c r="F173" s="17" t="s">
        <v>831</v>
      </c>
      <c r="G173" s="17" t="s">
        <v>7</v>
      </c>
      <c r="H173" s="99"/>
      <c r="I173" s="99">
        <v>12854</v>
      </c>
      <c r="J173" s="99"/>
      <c r="K173" s="99"/>
      <c r="L173" s="67">
        <f t="shared" si="20"/>
        <v>12854</v>
      </c>
      <c r="M173" s="17" t="s">
        <v>15</v>
      </c>
      <c r="N173" s="106"/>
      <c r="O173" s="80" t="s">
        <v>24</v>
      </c>
      <c r="P173" s="100"/>
      <c r="R173" s="100"/>
    </row>
    <row r="174" spans="1:18" s="1" customFormat="1" ht="14.1" customHeight="1" x14ac:dyDescent="0.25">
      <c r="A174" s="17" t="s">
        <v>451</v>
      </c>
      <c r="B174" s="162">
        <f t="shared" ca="1" si="18"/>
        <v>46114</v>
      </c>
      <c r="C174" s="162"/>
      <c r="D174" s="163">
        <f t="shared" ca="1" si="19"/>
        <v>13</v>
      </c>
      <c r="E174" s="88">
        <v>46101</v>
      </c>
      <c r="F174" s="17" t="s">
        <v>832</v>
      </c>
      <c r="G174" s="17" t="s">
        <v>7</v>
      </c>
      <c r="H174" s="99"/>
      <c r="I174" s="99">
        <v>24438</v>
      </c>
      <c r="J174" s="99"/>
      <c r="K174" s="99"/>
      <c r="L174" s="67">
        <f t="shared" si="20"/>
        <v>24438</v>
      </c>
      <c r="M174" s="17" t="s">
        <v>15</v>
      </c>
      <c r="N174" s="106"/>
      <c r="O174" s="80" t="s">
        <v>24</v>
      </c>
      <c r="P174" s="100"/>
      <c r="R174" s="100"/>
    </row>
    <row r="175" spans="1:18" s="1" customFormat="1" ht="14.1" customHeight="1" x14ac:dyDescent="0.25">
      <c r="A175" s="17" t="s">
        <v>132</v>
      </c>
      <c r="B175" s="162">
        <f t="shared" ca="1" si="18"/>
        <v>46114</v>
      </c>
      <c r="C175" s="162"/>
      <c r="D175" s="163">
        <f t="shared" ca="1" si="19"/>
        <v>13</v>
      </c>
      <c r="E175" s="88">
        <v>46101</v>
      </c>
      <c r="F175" s="17" t="s">
        <v>833</v>
      </c>
      <c r="G175" s="17" t="s">
        <v>7</v>
      </c>
      <c r="H175" s="99"/>
      <c r="I175" s="99">
        <v>4836</v>
      </c>
      <c r="J175" s="99"/>
      <c r="K175" s="99"/>
      <c r="L175" s="67">
        <f t="shared" si="20"/>
        <v>4836</v>
      </c>
      <c r="M175" s="17" t="s">
        <v>15</v>
      </c>
      <c r="N175" s="106"/>
      <c r="O175" s="80" t="s">
        <v>24</v>
      </c>
      <c r="P175" s="100"/>
      <c r="R175" s="100"/>
    </row>
    <row r="176" spans="1:18" s="1" customFormat="1" ht="14.1" customHeight="1" x14ac:dyDescent="0.25">
      <c r="A176" s="17" t="s">
        <v>256</v>
      </c>
      <c r="B176" s="162">
        <f t="shared" ca="1" si="18"/>
        <v>46114</v>
      </c>
      <c r="C176" s="162"/>
      <c r="D176" s="163">
        <f t="shared" ca="1" si="19"/>
        <v>13</v>
      </c>
      <c r="E176" s="88">
        <v>46101</v>
      </c>
      <c r="F176" s="17" t="s">
        <v>834</v>
      </c>
      <c r="G176" s="17" t="s">
        <v>7</v>
      </c>
      <c r="H176" s="99"/>
      <c r="I176" s="99">
        <v>17023</v>
      </c>
      <c r="J176" s="99">
        <v>144</v>
      </c>
      <c r="K176" s="99">
        <v>16879</v>
      </c>
      <c r="L176" s="67">
        <f t="shared" si="20"/>
        <v>0</v>
      </c>
      <c r="M176" s="17" t="s">
        <v>15</v>
      </c>
      <c r="N176" s="106"/>
      <c r="O176" s="80" t="s">
        <v>24</v>
      </c>
      <c r="P176" s="100"/>
      <c r="R176" s="100"/>
    </row>
    <row r="177" spans="1:18" s="1" customFormat="1" ht="14.1" customHeight="1" x14ac:dyDescent="0.25">
      <c r="A177" s="17" t="s">
        <v>132</v>
      </c>
      <c r="B177" s="162">
        <f t="shared" ca="1" si="18"/>
        <v>46114</v>
      </c>
      <c r="C177" s="162"/>
      <c r="D177" s="163">
        <f t="shared" ca="1" si="19"/>
        <v>13</v>
      </c>
      <c r="E177" s="88">
        <v>46101</v>
      </c>
      <c r="F177" s="17" t="s">
        <v>835</v>
      </c>
      <c r="G177" s="17" t="s">
        <v>7</v>
      </c>
      <c r="H177" s="99"/>
      <c r="I177" s="99">
        <v>28219</v>
      </c>
      <c r="J177" s="99"/>
      <c r="K177" s="99"/>
      <c r="L177" s="67">
        <f t="shared" si="20"/>
        <v>28219</v>
      </c>
      <c r="M177" s="17" t="s">
        <v>15</v>
      </c>
      <c r="N177" s="106"/>
      <c r="O177" s="80" t="s">
        <v>24</v>
      </c>
      <c r="P177" s="100"/>
      <c r="R177" s="100"/>
    </row>
    <row r="178" spans="1:18" s="1" customFormat="1" ht="14.1" customHeight="1" x14ac:dyDescent="0.25">
      <c r="A178" s="155" t="s">
        <v>10</v>
      </c>
      <c r="B178" s="162">
        <f t="shared" ca="1" si="18"/>
        <v>46114</v>
      </c>
      <c r="C178" s="162"/>
      <c r="D178" s="163">
        <f t="shared" ca="1" si="19"/>
        <v>12</v>
      </c>
      <c r="E178" s="88">
        <v>46102</v>
      </c>
      <c r="F178" s="88" t="s">
        <v>882</v>
      </c>
      <c r="G178" s="155" t="s">
        <v>770</v>
      </c>
      <c r="H178" s="99"/>
      <c r="I178" s="99">
        <v>39291</v>
      </c>
      <c r="J178" s="99"/>
      <c r="K178" s="99"/>
      <c r="L178" s="67">
        <f t="shared" si="20"/>
        <v>39291</v>
      </c>
      <c r="M178" s="17" t="s">
        <v>15</v>
      </c>
      <c r="N178" s="106"/>
      <c r="O178" s="80"/>
      <c r="P178" s="100"/>
      <c r="R178" s="100"/>
    </row>
    <row r="179" spans="1:18" s="1" customFormat="1" ht="14.1" customHeight="1" x14ac:dyDescent="0.25">
      <c r="A179" s="155" t="s">
        <v>883</v>
      </c>
      <c r="B179" s="162">
        <f t="shared" ca="1" si="18"/>
        <v>46114</v>
      </c>
      <c r="C179" s="162"/>
      <c r="D179" s="163">
        <f t="shared" ca="1" si="19"/>
        <v>9</v>
      </c>
      <c r="E179" s="88">
        <v>46105</v>
      </c>
      <c r="F179" s="88" t="s">
        <v>884</v>
      </c>
      <c r="G179" s="155" t="s">
        <v>22</v>
      </c>
      <c r="H179" s="99"/>
      <c r="I179" s="99">
        <v>2006687</v>
      </c>
      <c r="J179" s="99"/>
      <c r="K179" s="99"/>
      <c r="L179" s="67">
        <f t="shared" si="20"/>
        <v>2006687</v>
      </c>
      <c r="M179" s="17" t="s">
        <v>15</v>
      </c>
      <c r="N179" s="106"/>
      <c r="O179" s="80"/>
      <c r="P179" s="100"/>
      <c r="R179" s="100"/>
    </row>
    <row r="180" spans="1:18" s="1" customFormat="1" ht="14.1" customHeight="1" x14ac:dyDescent="0.25">
      <c r="A180" s="155" t="s">
        <v>885</v>
      </c>
      <c r="B180" s="162">
        <f t="shared" ca="1" si="18"/>
        <v>46114</v>
      </c>
      <c r="C180" s="162"/>
      <c r="D180" s="163">
        <f t="shared" ca="1" si="19"/>
        <v>8</v>
      </c>
      <c r="E180" s="88">
        <v>46106</v>
      </c>
      <c r="F180" s="88" t="s">
        <v>886</v>
      </c>
      <c r="G180" s="155" t="s">
        <v>22</v>
      </c>
      <c r="H180" s="99"/>
      <c r="I180" s="99">
        <v>1892</v>
      </c>
      <c r="J180" s="99"/>
      <c r="K180" s="99"/>
      <c r="L180" s="67">
        <f t="shared" si="20"/>
        <v>1892</v>
      </c>
      <c r="M180" s="17" t="s">
        <v>15</v>
      </c>
      <c r="N180" s="106"/>
      <c r="O180" s="80"/>
      <c r="P180" s="100"/>
      <c r="R180" s="100"/>
    </row>
    <row r="181" spans="1:18" s="1" customFormat="1" ht="14.1" customHeight="1" x14ac:dyDescent="0.25">
      <c r="A181" s="155" t="s">
        <v>742</v>
      </c>
      <c r="B181" s="162">
        <f t="shared" ca="1" si="18"/>
        <v>46114</v>
      </c>
      <c r="C181" s="162"/>
      <c r="D181" s="163">
        <f t="shared" ca="1" si="19"/>
        <v>6</v>
      </c>
      <c r="E181" s="88">
        <v>46108</v>
      </c>
      <c r="F181" s="88" t="s">
        <v>887</v>
      </c>
      <c r="G181" s="155" t="s">
        <v>743</v>
      </c>
      <c r="H181" s="99"/>
      <c r="I181" s="99">
        <v>45638</v>
      </c>
      <c r="J181" s="99"/>
      <c r="K181" s="99"/>
      <c r="L181" s="67">
        <f t="shared" si="20"/>
        <v>45638</v>
      </c>
      <c r="M181" s="17" t="s">
        <v>15</v>
      </c>
      <c r="N181" s="106"/>
      <c r="O181" s="80"/>
      <c r="P181" s="100"/>
      <c r="R181" s="100"/>
    </row>
    <row r="182" spans="1:18" s="2" customFormat="1" ht="14.1" customHeight="1" x14ac:dyDescent="0.25">
      <c r="A182" s="19"/>
      <c r="B182" s="162"/>
      <c r="C182" s="162"/>
      <c r="D182" s="19"/>
      <c r="E182" s="20"/>
      <c r="F182" s="19"/>
      <c r="G182" s="19"/>
      <c r="H182" s="69">
        <f>+SUM(H144:H181)</f>
        <v>796530</v>
      </c>
      <c r="I182" s="69">
        <f>+SUM(I144:I181)</f>
        <v>2416196</v>
      </c>
      <c r="J182" s="69">
        <f>+SUM(J144:J181)</f>
        <v>562</v>
      </c>
      <c r="K182" s="69">
        <f>+SUM(K144:K181)</f>
        <v>78290</v>
      </c>
      <c r="L182" s="69">
        <f>+SUM(L144:L181)</f>
        <v>3133874</v>
      </c>
      <c r="M182" s="69">
        <f>COUNTIF(L144:L177,"&gt;0")</f>
        <v>28</v>
      </c>
      <c r="N182" s="27"/>
      <c r="O182" s="178" t="s">
        <v>27</v>
      </c>
      <c r="P182" s="158"/>
      <c r="Q182" s="156"/>
      <c r="R182" s="156"/>
    </row>
    <row r="183" spans="1:18" s="2" customFormat="1" ht="14.1" customHeight="1" x14ac:dyDescent="0.25">
      <c r="A183" s="17" t="s">
        <v>320</v>
      </c>
      <c r="B183" s="162">
        <f t="shared" ca="1" si="18"/>
        <v>46114</v>
      </c>
      <c r="C183" s="162"/>
      <c r="D183" s="163">
        <f t="shared" ref="D183:D184" ca="1" si="22">B183-E183</f>
        <v>37</v>
      </c>
      <c r="E183" s="88">
        <v>46077</v>
      </c>
      <c r="F183" s="17" t="s">
        <v>719</v>
      </c>
      <c r="G183" s="17" t="s">
        <v>7</v>
      </c>
      <c r="H183" s="99">
        <v>22834</v>
      </c>
      <c r="I183" s="99"/>
      <c r="J183" s="99"/>
      <c r="K183" s="99"/>
      <c r="L183" s="67">
        <f>+H183+I183-K183-J183</f>
        <v>22834</v>
      </c>
      <c r="M183" s="106" t="s">
        <v>575</v>
      </c>
      <c r="N183" s="27">
        <v>21</v>
      </c>
      <c r="O183" s="178" t="s">
        <v>26</v>
      </c>
      <c r="P183" s="100">
        <v>46098</v>
      </c>
      <c r="Q183" s="1">
        <f>IF(L183=0,0,P183-E183)</f>
        <v>21</v>
      </c>
    </row>
    <row r="184" spans="1:18" s="2" customFormat="1" ht="14.1" customHeight="1" x14ac:dyDescent="0.25">
      <c r="A184" s="155" t="s">
        <v>320</v>
      </c>
      <c r="B184" s="162">
        <f t="shared" ca="1" si="18"/>
        <v>46114</v>
      </c>
      <c r="C184" s="162"/>
      <c r="D184" s="163">
        <f t="shared" ca="1" si="22"/>
        <v>6</v>
      </c>
      <c r="E184" s="88">
        <v>46108</v>
      </c>
      <c r="F184" s="88" t="s">
        <v>837</v>
      </c>
      <c r="G184" s="155" t="s">
        <v>770</v>
      </c>
      <c r="H184" s="99"/>
      <c r="I184" s="99">
        <v>25623</v>
      </c>
      <c r="J184" s="99"/>
      <c r="K184" s="99"/>
      <c r="L184" s="67">
        <f>+H184+I184-K184-J184</f>
        <v>25623</v>
      </c>
      <c r="M184" s="106" t="s">
        <v>575</v>
      </c>
      <c r="N184" s="27"/>
      <c r="O184" s="178"/>
      <c r="P184" s="100"/>
      <c r="Q184" s="1"/>
    </row>
    <row r="185" spans="1:18" s="2" customFormat="1" ht="14.1" customHeight="1" x14ac:dyDescent="0.25">
      <c r="A185" s="17"/>
      <c r="B185" s="162"/>
      <c r="C185" s="162"/>
      <c r="D185" s="17"/>
      <c r="E185" s="88"/>
      <c r="F185" s="17"/>
      <c r="G185" s="17"/>
      <c r="H185" s="99">
        <v>0</v>
      </c>
      <c r="I185" s="99"/>
      <c r="J185" s="99"/>
      <c r="K185" s="99"/>
      <c r="L185" s="67">
        <f>+H185+I185-K185-J185</f>
        <v>0</v>
      </c>
      <c r="M185" s="99"/>
      <c r="N185" s="27"/>
      <c r="O185" s="178"/>
      <c r="Q185"/>
    </row>
    <row r="186" spans="1:18" s="2" customFormat="1" ht="14.1" customHeight="1" x14ac:dyDescent="0.25">
      <c r="A186" s="19"/>
      <c r="B186" s="162"/>
      <c r="C186" s="162"/>
      <c r="D186" s="19"/>
      <c r="E186" s="20"/>
      <c r="F186" s="19"/>
      <c r="G186" s="19"/>
      <c r="H186" s="69">
        <f>+SUM(H183:H185)</f>
        <v>22834</v>
      </c>
      <c r="I186" s="69">
        <f>+SUM(I183:I185)</f>
        <v>25623</v>
      </c>
      <c r="J186" s="69">
        <f>+SUM(J183:J185)</f>
        <v>0</v>
      </c>
      <c r="K186" s="69">
        <f>+SUM(K183:K185)</f>
        <v>0</v>
      </c>
      <c r="L186" s="69">
        <f>+SUM(L183:L185)</f>
        <v>48457</v>
      </c>
      <c r="M186" s="69">
        <f>COUNTIF(L183:L185,"&gt;0")</f>
        <v>2</v>
      </c>
      <c r="N186" s="27"/>
      <c r="O186" s="178"/>
      <c r="Q186"/>
    </row>
    <row r="187" spans="1:18" s="1" customFormat="1" ht="14.1" customHeight="1" x14ac:dyDescent="0.25">
      <c r="A187" s="17" t="s">
        <v>36</v>
      </c>
      <c r="B187" s="162">
        <f t="shared" ca="1" si="18"/>
        <v>46114</v>
      </c>
      <c r="C187" s="162"/>
      <c r="D187" s="163">
        <f t="shared" ref="D187:D190" ca="1" si="23">B187-E187</f>
        <v>218</v>
      </c>
      <c r="E187" s="88">
        <v>45896</v>
      </c>
      <c r="F187" s="17" t="s">
        <v>286</v>
      </c>
      <c r="G187" s="17" t="s">
        <v>287</v>
      </c>
      <c r="H187" s="99">
        <v>1593</v>
      </c>
      <c r="I187" s="99"/>
      <c r="J187" s="99"/>
      <c r="K187" s="67"/>
      <c r="L187" s="67">
        <f>+H187+I187-K187-J187</f>
        <v>1593</v>
      </c>
      <c r="M187" s="17" t="s">
        <v>120</v>
      </c>
      <c r="N187" s="106">
        <v>202</v>
      </c>
      <c r="O187" s="80" t="s">
        <v>25</v>
      </c>
      <c r="P187" s="100">
        <v>46098</v>
      </c>
      <c r="Q187" s="1">
        <f>IF(L187=0,0,P187-E187)</f>
        <v>202</v>
      </c>
    </row>
    <row r="188" spans="1:18" s="1" customFormat="1" ht="14.1" customHeight="1" x14ac:dyDescent="0.25">
      <c r="A188" s="17" t="s">
        <v>115</v>
      </c>
      <c r="B188" s="162">
        <f t="shared" ca="1" si="18"/>
        <v>46114</v>
      </c>
      <c r="C188" s="162"/>
      <c r="D188" s="163">
        <f t="shared" ca="1" si="23"/>
        <v>176</v>
      </c>
      <c r="E188" s="88">
        <v>45938</v>
      </c>
      <c r="F188" s="17" t="s">
        <v>417</v>
      </c>
      <c r="G188" s="17" t="s">
        <v>11</v>
      </c>
      <c r="H188" s="99">
        <v>1160</v>
      </c>
      <c r="I188" s="99"/>
      <c r="J188" s="99"/>
      <c r="K188" s="67"/>
      <c r="L188" s="67">
        <f>+H188+I188-K188-J188</f>
        <v>1160</v>
      </c>
      <c r="M188" s="180" t="s">
        <v>120</v>
      </c>
      <c r="N188" s="106">
        <v>160</v>
      </c>
      <c r="O188" s="80" t="s">
        <v>25</v>
      </c>
      <c r="P188" s="100">
        <v>46098</v>
      </c>
      <c r="Q188" s="1">
        <f>IF(L188=0,0,P188-E188)</f>
        <v>160</v>
      </c>
    </row>
    <row r="189" spans="1:18" s="1" customFormat="1" ht="14.1" customHeight="1" x14ac:dyDescent="0.25">
      <c r="A189" s="17" t="s">
        <v>115</v>
      </c>
      <c r="B189" s="162">
        <f t="shared" ca="1" si="18"/>
        <v>46114</v>
      </c>
      <c r="C189" s="162"/>
      <c r="D189" s="163">
        <f t="shared" ca="1" si="23"/>
        <v>113</v>
      </c>
      <c r="E189" s="88">
        <v>46001</v>
      </c>
      <c r="F189" s="17" t="s">
        <v>505</v>
      </c>
      <c r="G189" s="17" t="s">
        <v>11</v>
      </c>
      <c r="H189" s="99">
        <v>1160</v>
      </c>
      <c r="I189" s="99"/>
      <c r="J189" s="99"/>
      <c r="K189" s="67"/>
      <c r="L189" s="67">
        <f>+H189+I189-K189-J189</f>
        <v>1160</v>
      </c>
      <c r="M189" s="180" t="s">
        <v>120</v>
      </c>
      <c r="N189" s="106">
        <v>97</v>
      </c>
      <c r="O189" s="80" t="s">
        <v>25</v>
      </c>
      <c r="P189" s="100">
        <v>46098</v>
      </c>
      <c r="Q189" s="1">
        <f>IF(L189=0,0,P189-E189)</f>
        <v>97</v>
      </c>
    </row>
    <row r="190" spans="1:18" s="1" customFormat="1" ht="14.1" customHeight="1" x14ac:dyDescent="0.25">
      <c r="A190" s="17" t="s">
        <v>115</v>
      </c>
      <c r="B190" s="162">
        <f t="shared" ca="1" si="18"/>
        <v>46114</v>
      </c>
      <c r="C190" s="162"/>
      <c r="D190" s="163">
        <f t="shared" ca="1" si="23"/>
        <v>38</v>
      </c>
      <c r="E190" s="88">
        <v>46076</v>
      </c>
      <c r="F190" s="17" t="s">
        <v>716</v>
      </c>
      <c r="G190" s="17" t="s">
        <v>11</v>
      </c>
      <c r="H190" s="99">
        <v>9440</v>
      </c>
      <c r="I190" s="99"/>
      <c r="J190" s="99"/>
      <c r="K190" s="67"/>
      <c r="L190" s="67">
        <f>+H190+I190-K190-J190</f>
        <v>9440</v>
      </c>
      <c r="M190" s="180" t="s">
        <v>120</v>
      </c>
      <c r="N190" s="106">
        <v>22</v>
      </c>
      <c r="O190" s="80" t="s">
        <v>25</v>
      </c>
      <c r="P190" s="100">
        <v>46098</v>
      </c>
      <c r="Q190" s="1">
        <f>IF(L190=0,0,P190-E190)</f>
        <v>22</v>
      </c>
    </row>
    <row r="191" spans="1:18" ht="14.1" customHeight="1" x14ac:dyDescent="0.25">
      <c r="A191" s="28"/>
      <c r="B191" s="162"/>
      <c r="C191" s="162"/>
      <c r="D191" s="28"/>
      <c r="E191" s="29"/>
      <c r="F191" s="30"/>
      <c r="G191" s="181"/>
      <c r="H191" s="69">
        <f>+SUM(H187:H190)</f>
        <v>13353</v>
      </c>
      <c r="I191" s="69">
        <f>+SUM(I187:I190)</f>
        <v>0</v>
      </c>
      <c r="J191" s="69">
        <f>+SUM(J187:J190)</f>
        <v>0</v>
      </c>
      <c r="K191" s="69">
        <f>+SUM(K187:K190)</f>
        <v>0</v>
      </c>
      <c r="L191" s="69">
        <f>+SUM(L187:L190)</f>
        <v>13353</v>
      </c>
      <c r="M191" s="69">
        <f>COUNTIF(L187:L190,"&gt;0")</f>
        <v>4</v>
      </c>
      <c r="N191" s="106"/>
      <c r="O191" s="80" t="s">
        <v>44</v>
      </c>
    </row>
    <row r="192" spans="1:18" s="8" customFormat="1" ht="14.1" customHeight="1" x14ac:dyDescent="0.25">
      <c r="A192" s="19" t="s">
        <v>45</v>
      </c>
      <c r="B192" s="162"/>
      <c r="C192" s="162"/>
      <c r="D192" s="19"/>
      <c r="E192" s="31"/>
      <c r="F192" s="19"/>
      <c r="G192" s="19"/>
      <c r="H192" s="69">
        <f t="shared" ref="H192:M192" si="24">+H13+H94+H114+H143+H182+H191+H8+H97+H186</f>
        <v>2890092</v>
      </c>
      <c r="I192" s="69">
        <f t="shared" si="24"/>
        <v>3528167</v>
      </c>
      <c r="J192" s="69">
        <f t="shared" si="24"/>
        <v>7123</v>
      </c>
      <c r="K192" s="69">
        <f t="shared" si="24"/>
        <v>506099</v>
      </c>
      <c r="L192" s="69">
        <f t="shared" si="24"/>
        <v>5905037</v>
      </c>
      <c r="M192" s="69">
        <f t="shared" si="24"/>
        <v>130</v>
      </c>
      <c r="N192" s="19"/>
      <c r="O192" s="152" t="s">
        <v>44</v>
      </c>
    </row>
    <row r="193" spans="1:20" s="6" customFormat="1" ht="46.5" customHeight="1" x14ac:dyDescent="0.25">
      <c r="A193" s="182" t="s">
        <v>264</v>
      </c>
      <c r="B193" s="164"/>
      <c r="C193" s="164"/>
      <c r="D193" s="182"/>
      <c r="E193" s="183"/>
      <c r="F193" s="183"/>
      <c r="G193" s="183"/>
      <c r="H193" s="182" t="s">
        <v>906</v>
      </c>
      <c r="I193" s="184" t="s">
        <v>31</v>
      </c>
      <c r="J193" s="184" t="s">
        <v>439</v>
      </c>
      <c r="K193" s="182" t="s">
        <v>32</v>
      </c>
      <c r="L193" s="182" t="s">
        <v>907</v>
      </c>
      <c r="M193" s="183"/>
      <c r="N193" s="185"/>
      <c r="O193" s="186" t="s">
        <v>44</v>
      </c>
    </row>
    <row r="194" spans="1:20" ht="14.1" customHeight="1" x14ac:dyDescent="0.25">
      <c r="A194" s="32" t="s">
        <v>98</v>
      </c>
      <c r="B194" s="164">
        <f t="shared" ca="1" si="18"/>
        <v>46114</v>
      </c>
      <c r="C194" s="164"/>
      <c r="D194" s="167">
        <f ca="1">B194-E194</f>
        <v>353</v>
      </c>
      <c r="E194" s="33">
        <v>45761</v>
      </c>
      <c r="F194" s="32" t="s">
        <v>285</v>
      </c>
      <c r="G194" s="32" t="s">
        <v>23</v>
      </c>
      <c r="H194" s="34">
        <v>15930</v>
      </c>
      <c r="I194" s="34"/>
      <c r="J194" s="34"/>
      <c r="K194" s="34"/>
      <c r="L194" s="34">
        <f>+H194+I194-K194-J194</f>
        <v>15930</v>
      </c>
      <c r="M194" s="32" t="s">
        <v>28</v>
      </c>
      <c r="N194" s="39">
        <v>337</v>
      </c>
      <c r="O194" s="58" t="s">
        <v>26</v>
      </c>
      <c r="P194" s="100">
        <v>46098</v>
      </c>
      <c r="Q194" s="1">
        <f>IF(L194=0,0,P194-E194)</f>
        <v>337</v>
      </c>
      <c r="R194" t="s">
        <v>122</v>
      </c>
      <c r="T194" t="s">
        <v>140</v>
      </c>
    </row>
    <row r="195" spans="1:20" ht="14.1" customHeight="1" x14ac:dyDescent="0.25">
      <c r="A195" s="32" t="s">
        <v>295</v>
      </c>
      <c r="B195" s="164">
        <f t="shared" ref="B195:B258" ca="1" si="25">TODAY()</f>
        <v>46114</v>
      </c>
      <c r="C195" s="164"/>
      <c r="D195" s="167">
        <f ca="1">B195-E195</f>
        <v>216</v>
      </c>
      <c r="E195" s="33">
        <v>45898</v>
      </c>
      <c r="F195" s="32" t="s">
        <v>296</v>
      </c>
      <c r="G195" s="32" t="s">
        <v>16</v>
      </c>
      <c r="H195" s="34">
        <v>7198</v>
      </c>
      <c r="I195" s="34"/>
      <c r="J195" s="34"/>
      <c r="K195" s="34"/>
      <c r="L195" s="34">
        <f>+H195+I195-K195-J195</f>
        <v>7198</v>
      </c>
      <c r="M195" s="32" t="s">
        <v>28</v>
      </c>
      <c r="N195" s="39">
        <v>200</v>
      </c>
      <c r="O195" s="58" t="s">
        <v>25</v>
      </c>
      <c r="P195" s="100">
        <v>46098</v>
      </c>
      <c r="Q195" s="1">
        <f>IF(L195=0,0,P195-E195)</f>
        <v>200</v>
      </c>
      <c r="R195" s="3"/>
    </row>
    <row r="196" spans="1:20" s="2" customFormat="1" ht="14.1" customHeight="1" x14ac:dyDescent="0.25">
      <c r="A196" s="36"/>
      <c r="B196" s="164"/>
      <c r="C196" s="164"/>
      <c r="D196" s="167"/>
      <c r="E196" s="37"/>
      <c r="F196" s="36"/>
      <c r="G196" s="36"/>
      <c r="H196" s="72">
        <f>SUM(H194:H195)</f>
        <v>23128</v>
      </c>
      <c r="I196" s="72">
        <f>SUM(I194:I195)</f>
        <v>0</v>
      </c>
      <c r="J196" s="72"/>
      <c r="K196" s="72">
        <f>SUM(K194:K195)</f>
        <v>0</v>
      </c>
      <c r="L196" s="72">
        <f>SUM(L194:L195)</f>
        <v>23128</v>
      </c>
      <c r="M196" s="72">
        <f>COUNTIF(L194:L195,"&gt;0")</f>
        <v>2</v>
      </c>
      <c r="N196" s="111"/>
      <c r="O196" s="179" t="s">
        <v>27</v>
      </c>
    </row>
    <row r="197" spans="1:20" ht="14.1" customHeight="1" x14ac:dyDescent="0.25">
      <c r="A197" s="32" t="s">
        <v>175</v>
      </c>
      <c r="B197" s="164">
        <f t="shared" ca="1" si="25"/>
        <v>46114</v>
      </c>
      <c r="C197" s="164"/>
      <c r="D197" s="167">
        <f ca="1">B197-E197</f>
        <v>63</v>
      </c>
      <c r="E197" s="33">
        <v>46051</v>
      </c>
      <c r="F197" s="32" t="s">
        <v>665</v>
      </c>
      <c r="G197" s="32" t="s">
        <v>123</v>
      </c>
      <c r="H197" s="34">
        <v>0</v>
      </c>
      <c r="I197" s="34"/>
      <c r="J197" s="34"/>
      <c r="K197" s="34"/>
      <c r="L197" s="34">
        <f>+H197+I197-K197-J197</f>
        <v>0</v>
      </c>
      <c r="M197" s="32" t="s">
        <v>8</v>
      </c>
      <c r="N197" s="39">
        <v>0</v>
      </c>
      <c r="O197" s="58" t="s">
        <v>26</v>
      </c>
      <c r="P197" s="100">
        <v>46098</v>
      </c>
      <c r="Q197" s="1">
        <f>IF(L197=0,0,P197-E197)</f>
        <v>0</v>
      </c>
    </row>
    <row r="198" spans="1:20" ht="14.1" customHeight="1" x14ac:dyDescent="0.25">
      <c r="A198" s="32" t="s">
        <v>667</v>
      </c>
      <c r="B198" s="164">
        <f t="shared" ca="1" si="25"/>
        <v>46114</v>
      </c>
      <c r="C198" s="164"/>
      <c r="D198" s="167">
        <f ca="1">B198-E198</f>
        <v>63</v>
      </c>
      <c r="E198" s="33">
        <v>46051</v>
      </c>
      <c r="F198" s="32" t="s">
        <v>666</v>
      </c>
      <c r="G198" s="32" t="s">
        <v>123</v>
      </c>
      <c r="H198" s="34">
        <v>0</v>
      </c>
      <c r="I198" s="34"/>
      <c r="J198" s="34"/>
      <c r="K198" s="34"/>
      <c r="L198" s="34">
        <f>+H198+I198-K198-J198</f>
        <v>0</v>
      </c>
      <c r="M198" s="32" t="s">
        <v>8</v>
      </c>
      <c r="N198" s="39">
        <v>0</v>
      </c>
      <c r="O198" s="187" t="s">
        <v>26</v>
      </c>
      <c r="P198" s="100">
        <v>46098</v>
      </c>
      <c r="Q198" s="1">
        <f>IF(L198=0,0,P198-E198)</f>
        <v>0</v>
      </c>
    </row>
    <row r="199" spans="1:20" s="2" customFormat="1" ht="14.1" customHeight="1" x14ac:dyDescent="0.25">
      <c r="A199" s="36"/>
      <c r="B199" s="164"/>
      <c r="C199" s="164"/>
      <c r="D199" s="167"/>
      <c r="E199" s="37"/>
      <c r="F199" s="36"/>
      <c r="G199" s="36"/>
      <c r="H199" s="72">
        <f>SUM(H197:H198)</f>
        <v>0</v>
      </c>
      <c r="I199" s="72">
        <f>SUM(I197:I198)</f>
        <v>0</v>
      </c>
      <c r="J199" s="72">
        <f>SUM(J197:J198)</f>
        <v>0</v>
      </c>
      <c r="K199" s="72">
        <f>SUM(K197:K198)</f>
        <v>0</v>
      </c>
      <c r="L199" s="72">
        <f>SUM(L197:L198)</f>
        <v>0</v>
      </c>
      <c r="M199" s="72">
        <f>COUNTIF(L197:L198,"&gt;0")</f>
        <v>0</v>
      </c>
      <c r="N199" s="111"/>
      <c r="O199" s="179" t="s">
        <v>27</v>
      </c>
      <c r="Q199"/>
    </row>
    <row r="200" spans="1:20" ht="14.1" customHeight="1" x14ac:dyDescent="0.25">
      <c r="A200" s="32" t="s">
        <v>148</v>
      </c>
      <c r="B200" s="164">
        <f t="shared" ca="1" si="25"/>
        <v>46114</v>
      </c>
      <c r="C200" s="164"/>
      <c r="D200" s="167">
        <f t="shared" ref="D200:D237" ca="1" si="26">B200-E200</f>
        <v>241</v>
      </c>
      <c r="E200" s="33">
        <v>45873</v>
      </c>
      <c r="F200" s="32" t="s">
        <v>234</v>
      </c>
      <c r="G200" s="32" t="s">
        <v>137</v>
      </c>
      <c r="H200" s="38">
        <v>910</v>
      </c>
      <c r="I200" s="38"/>
      <c r="J200" s="38"/>
      <c r="K200" s="38"/>
      <c r="L200" s="34">
        <f t="shared" ref="L200:L237" si="27">+H200+I200-K200-J200</f>
        <v>910</v>
      </c>
      <c r="M200" s="39" t="s">
        <v>12</v>
      </c>
      <c r="N200" s="39">
        <v>225</v>
      </c>
      <c r="O200" s="58" t="s">
        <v>26</v>
      </c>
      <c r="P200" s="100">
        <v>46098</v>
      </c>
      <c r="Q200" s="1">
        <f t="shared" ref="Q200:Q226" si="28">IF(L200=0,0,P200-E200)</f>
        <v>225</v>
      </c>
      <c r="R200" s="3"/>
    </row>
    <row r="201" spans="1:20" ht="13.5" customHeight="1" x14ac:dyDescent="0.25">
      <c r="A201" s="32" t="s">
        <v>293</v>
      </c>
      <c r="B201" s="164">
        <f t="shared" ca="1" si="25"/>
        <v>46114</v>
      </c>
      <c r="C201" s="164"/>
      <c r="D201" s="167">
        <f t="shared" ca="1" si="26"/>
        <v>218</v>
      </c>
      <c r="E201" s="33">
        <v>45896</v>
      </c>
      <c r="F201" s="32" t="s">
        <v>294</v>
      </c>
      <c r="G201" s="32" t="s">
        <v>123</v>
      </c>
      <c r="H201" s="38">
        <v>45312</v>
      </c>
      <c r="I201" s="38"/>
      <c r="J201" s="38"/>
      <c r="K201" s="38"/>
      <c r="L201" s="34">
        <f t="shared" si="27"/>
        <v>45312</v>
      </c>
      <c r="M201" s="39" t="s">
        <v>12</v>
      </c>
      <c r="N201" s="39">
        <v>202</v>
      </c>
      <c r="O201" s="58" t="s">
        <v>26</v>
      </c>
      <c r="P201" s="100">
        <v>46098</v>
      </c>
      <c r="Q201" s="1">
        <f t="shared" si="28"/>
        <v>202</v>
      </c>
      <c r="R201" s="3"/>
    </row>
    <row r="202" spans="1:20" ht="14.1" customHeight="1" x14ac:dyDescent="0.25">
      <c r="A202" s="32" t="s">
        <v>390</v>
      </c>
      <c r="B202" s="164">
        <f t="shared" ca="1" si="25"/>
        <v>46114</v>
      </c>
      <c r="C202" s="164"/>
      <c r="D202" s="167">
        <f t="shared" ca="1" si="26"/>
        <v>180</v>
      </c>
      <c r="E202" s="33">
        <v>45934</v>
      </c>
      <c r="F202" s="32" t="s">
        <v>389</v>
      </c>
      <c r="G202" s="32" t="s">
        <v>41</v>
      </c>
      <c r="H202" s="38">
        <v>15576</v>
      </c>
      <c r="I202" s="113"/>
      <c r="J202" s="113"/>
      <c r="K202" s="38"/>
      <c r="L202" s="34">
        <f t="shared" si="27"/>
        <v>15576</v>
      </c>
      <c r="M202" s="39" t="s">
        <v>12</v>
      </c>
      <c r="N202" s="39">
        <v>164</v>
      </c>
      <c r="O202" s="58" t="s">
        <v>24</v>
      </c>
      <c r="P202" s="100">
        <v>46098</v>
      </c>
      <c r="Q202" s="1">
        <f t="shared" si="28"/>
        <v>164</v>
      </c>
      <c r="R202" s="3"/>
    </row>
    <row r="203" spans="1:20" ht="14.1" customHeight="1" x14ac:dyDescent="0.25">
      <c r="A203" s="32" t="s">
        <v>441</v>
      </c>
      <c r="B203" s="164">
        <f t="shared" ca="1" si="25"/>
        <v>46114</v>
      </c>
      <c r="C203" s="164"/>
      <c r="D203" s="167">
        <f t="shared" ca="1" si="26"/>
        <v>173</v>
      </c>
      <c r="E203" s="33">
        <v>45941</v>
      </c>
      <c r="F203" s="32" t="s">
        <v>442</v>
      </c>
      <c r="G203" s="32" t="s">
        <v>368</v>
      </c>
      <c r="H203" s="38">
        <v>37760</v>
      </c>
      <c r="I203" s="113"/>
      <c r="J203" s="113"/>
      <c r="K203" s="38"/>
      <c r="L203" s="34">
        <f t="shared" si="27"/>
        <v>37760</v>
      </c>
      <c r="M203" s="39" t="s">
        <v>12</v>
      </c>
      <c r="N203" s="39">
        <v>157</v>
      </c>
      <c r="O203" s="58" t="s">
        <v>25</v>
      </c>
      <c r="P203" s="100">
        <v>46098</v>
      </c>
      <c r="Q203" s="1">
        <f t="shared" si="28"/>
        <v>157</v>
      </c>
      <c r="R203" s="3"/>
    </row>
    <row r="204" spans="1:20" ht="14.1" customHeight="1" x14ac:dyDescent="0.25">
      <c r="A204" s="32" t="s">
        <v>456</v>
      </c>
      <c r="B204" s="164">
        <f t="shared" ca="1" si="25"/>
        <v>46114</v>
      </c>
      <c r="C204" s="164"/>
      <c r="D204" s="167">
        <f t="shared" ca="1" si="26"/>
        <v>160</v>
      </c>
      <c r="E204" s="33">
        <v>45954</v>
      </c>
      <c r="F204" s="32" t="s">
        <v>455</v>
      </c>
      <c r="G204" s="32" t="s">
        <v>34</v>
      </c>
      <c r="H204" s="38">
        <v>5310</v>
      </c>
      <c r="I204" s="113"/>
      <c r="J204" s="113"/>
      <c r="K204" s="38"/>
      <c r="L204" s="34">
        <f t="shared" si="27"/>
        <v>5310</v>
      </c>
      <c r="M204" s="39" t="s">
        <v>12</v>
      </c>
      <c r="N204" s="39">
        <v>144</v>
      </c>
      <c r="O204" s="58" t="s">
        <v>26</v>
      </c>
      <c r="P204" s="100">
        <v>46098</v>
      </c>
      <c r="Q204" s="1">
        <f t="shared" si="28"/>
        <v>144</v>
      </c>
      <c r="R204" s="3"/>
    </row>
    <row r="205" spans="1:20" ht="14.1" customHeight="1" x14ac:dyDescent="0.25">
      <c r="A205" s="32" t="s">
        <v>49</v>
      </c>
      <c r="B205" s="164">
        <f t="shared" ca="1" si="25"/>
        <v>46114</v>
      </c>
      <c r="C205" s="164"/>
      <c r="D205" s="167">
        <f t="shared" ca="1" si="26"/>
        <v>156</v>
      </c>
      <c r="E205" s="33">
        <v>45958</v>
      </c>
      <c r="F205" s="32" t="s">
        <v>459</v>
      </c>
      <c r="G205" s="32" t="s">
        <v>23</v>
      </c>
      <c r="H205" s="38">
        <v>15930</v>
      </c>
      <c r="I205" s="113"/>
      <c r="J205" s="113"/>
      <c r="K205" s="38"/>
      <c r="L205" s="34">
        <f t="shared" si="27"/>
        <v>15930</v>
      </c>
      <c r="M205" s="39" t="s">
        <v>12</v>
      </c>
      <c r="N205" s="39">
        <v>140</v>
      </c>
      <c r="O205" s="58" t="s">
        <v>26</v>
      </c>
      <c r="P205" s="100">
        <v>46098</v>
      </c>
      <c r="Q205" s="1">
        <f t="shared" si="28"/>
        <v>140</v>
      </c>
      <c r="R205" s="3"/>
    </row>
    <row r="206" spans="1:20" ht="14.1" customHeight="1" x14ac:dyDescent="0.25">
      <c r="A206" s="32" t="s">
        <v>465</v>
      </c>
      <c r="B206" s="164">
        <f t="shared" ca="1" si="25"/>
        <v>46114</v>
      </c>
      <c r="C206" s="164"/>
      <c r="D206" s="167">
        <f t="shared" ca="1" si="26"/>
        <v>140</v>
      </c>
      <c r="E206" s="33">
        <v>45974</v>
      </c>
      <c r="F206" s="32" t="s">
        <v>466</v>
      </c>
      <c r="G206" s="32" t="s">
        <v>92</v>
      </c>
      <c r="H206" s="38">
        <v>26550</v>
      </c>
      <c r="I206" s="113"/>
      <c r="J206" s="113"/>
      <c r="K206" s="38"/>
      <c r="L206" s="34">
        <f t="shared" si="27"/>
        <v>26550</v>
      </c>
      <c r="M206" s="39" t="s">
        <v>12</v>
      </c>
      <c r="N206" s="39">
        <v>124</v>
      </c>
      <c r="O206" s="58" t="s">
        <v>26</v>
      </c>
      <c r="P206" s="100">
        <v>46098</v>
      </c>
      <c r="Q206" s="1">
        <f t="shared" si="28"/>
        <v>124</v>
      </c>
      <c r="R206" s="3"/>
    </row>
    <row r="207" spans="1:20" ht="14.1" customHeight="1" x14ac:dyDescent="0.25">
      <c r="A207" s="32" t="s">
        <v>85</v>
      </c>
      <c r="B207" s="164">
        <f t="shared" ca="1" si="25"/>
        <v>46114</v>
      </c>
      <c r="C207" s="164"/>
      <c r="D207" s="167">
        <f t="shared" ca="1" si="26"/>
        <v>127</v>
      </c>
      <c r="E207" s="33">
        <v>45987</v>
      </c>
      <c r="F207" s="32" t="s">
        <v>493</v>
      </c>
      <c r="G207" s="32" t="s">
        <v>34</v>
      </c>
      <c r="H207" s="38">
        <v>5310</v>
      </c>
      <c r="I207" s="113"/>
      <c r="J207" s="113"/>
      <c r="K207" s="38"/>
      <c r="L207" s="34">
        <f t="shared" si="27"/>
        <v>5310</v>
      </c>
      <c r="M207" s="39" t="s">
        <v>12</v>
      </c>
      <c r="N207" s="39">
        <v>111</v>
      </c>
      <c r="O207" s="58" t="s">
        <v>26</v>
      </c>
      <c r="P207" s="100">
        <v>46098</v>
      </c>
      <c r="Q207" s="1">
        <f t="shared" si="28"/>
        <v>111</v>
      </c>
      <c r="R207" s="3"/>
    </row>
    <row r="208" spans="1:20" ht="14.1" customHeight="1" x14ac:dyDescent="0.25">
      <c r="A208" s="32" t="s">
        <v>507</v>
      </c>
      <c r="B208" s="164">
        <f t="shared" ca="1" si="25"/>
        <v>46114</v>
      </c>
      <c r="C208" s="164"/>
      <c r="D208" s="167">
        <f t="shared" ca="1" si="26"/>
        <v>113</v>
      </c>
      <c r="E208" s="33">
        <v>46001</v>
      </c>
      <c r="F208" s="32" t="s">
        <v>506</v>
      </c>
      <c r="G208" s="32" t="s">
        <v>34</v>
      </c>
      <c r="H208" s="38">
        <v>5310</v>
      </c>
      <c r="I208" s="113"/>
      <c r="J208" s="113"/>
      <c r="K208" s="38"/>
      <c r="L208" s="34">
        <f t="shared" si="27"/>
        <v>5310</v>
      </c>
      <c r="M208" s="39" t="s">
        <v>12</v>
      </c>
      <c r="N208" s="39">
        <v>97</v>
      </c>
      <c r="O208" s="58" t="s">
        <v>26</v>
      </c>
      <c r="P208" s="100">
        <v>46098</v>
      </c>
      <c r="Q208" s="1">
        <f t="shared" si="28"/>
        <v>97</v>
      </c>
      <c r="R208" s="3"/>
    </row>
    <row r="209" spans="1:18" ht="13.5" customHeight="1" x14ac:dyDescent="0.25">
      <c r="A209" s="32" t="s">
        <v>551</v>
      </c>
      <c r="B209" s="164">
        <f t="shared" ca="1" si="25"/>
        <v>46114</v>
      </c>
      <c r="C209" s="164"/>
      <c r="D209" s="167">
        <f t="shared" ca="1" si="26"/>
        <v>103</v>
      </c>
      <c r="E209" s="33">
        <v>46011</v>
      </c>
      <c r="F209" s="32" t="s">
        <v>552</v>
      </c>
      <c r="G209" s="32" t="s">
        <v>553</v>
      </c>
      <c r="H209" s="38">
        <v>39825</v>
      </c>
      <c r="I209" s="113"/>
      <c r="J209" s="113"/>
      <c r="K209" s="38"/>
      <c r="L209" s="34">
        <f t="shared" si="27"/>
        <v>39825</v>
      </c>
      <c r="M209" s="39" t="s">
        <v>12</v>
      </c>
      <c r="N209" s="39">
        <v>87</v>
      </c>
      <c r="O209" s="58" t="s">
        <v>26</v>
      </c>
      <c r="P209" s="100">
        <v>46098</v>
      </c>
      <c r="Q209" s="1">
        <f t="shared" si="28"/>
        <v>87</v>
      </c>
      <c r="R209" s="3"/>
    </row>
    <row r="210" spans="1:18" ht="13.5" customHeight="1" x14ac:dyDescent="0.25">
      <c r="A210" s="32" t="s">
        <v>568</v>
      </c>
      <c r="B210" s="164">
        <f t="shared" ca="1" si="25"/>
        <v>46114</v>
      </c>
      <c r="C210" s="164"/>
      <c r="D210" s="167">
        <f t="shared" ca="1" si="26"/>
        <v>93</v>
      </c>
      <c r="E210" s="33">
        <v>46021</v>
      </c>
      <c r="F210" s="32" t="s">
        <v>567</v>
      </c>
      <c r="G210" s="32" t="s">
        <v>40</v>
      </c>
      <c r="H210" s="38">
        <v>14400</v>
      </c>
      <c r="I210" s="113"/>
      <c r="J210" s="113"/>
      <c r="K210" s="38"/>
      <c r="L210" s="34">
        <f t="shared" si="27"/>
        <v>14400</v>
      </c>
      <c r="M210" s="39" t="s">
        <v>12</v>
      </c>
      <c r="N210" s="39">
        <v>77</v>
      </c>
      <c r="O210" s="58" t="s">
        <v>25</v>
      </c>
      <c r="P210" s="100">
        <v>46098</v>
      </c>
      <c r="Q210" s="1">
        <f t="shared" si="28"/>
        <v>77</v>
      </c>
      <c r="R210" s="3"/>
    </row>
    <row r="211" spans="1:18" ht="13.5" customHeight="1" x14ac:dyDescent="0.25">
      <c r="A211" s="32" t="s">
        <v>664</v>
      </c>
      <c r="B211" s="164">
        <f t="shared" ca="1" si="25"/>
        <v>46114</v>
      </c>
      <c r="C211" s="164"/>
      <c r="D211" s="167">
        <f t="shared" ca="1" si="26"/>
        <v>63</v>
      </c>
      <c r="E211" s="33">
        <v>46051</v>
      </c>
      <c r="F211" s="32" t="s">
        <v>663</v>
      </c>
      <c r="G211" s="32" t="s">
        <v>123</v>
      </c>
      <c r="H211" s="38">
        <v>3603</v>
      </c>
      <c r="I211" s="113"/>
      <c r="J211" s="113"/>
      <c r="K211" s="38"/>
      <c r="L211" s="34">
        <f t="shared" si="27"/>
        <v>3603</v>
      </c>
      <c r="M211" s="39" t="s">
        <v>12</v>
      </c>
      <c r="N211" s="39">
        <v>47</v>
      </c>
      <c r="O211" s="58" t="s">
        <v>26</v>
      </c>
      <c r="P211" s="100">
        <v>46098</v>
      </c>
      <c r="Q211" s="1">
        <f t="shared" si="28"/>
        <v>47</v>
      </c>
      <c r="R211" s="3"/>
    </row>
    <row r="212" spans="1:18" ht="13.5" customHeight="1" x14ac:dyDescent="0.25">
      <c r="A212" s="32" t="s">
        <v>532</v>
      </c>
      <c r="B212" s="164">
        <f t="shared" ca="1" si="25"/>
        <v>46114</v>
      </c>
      <c r="C212" s="164"/>
      <c r="D212" s="167">
        <f t="shared" ca="1" si="26"/>
        <v>62</v>
      </c>
      <c r="E212" s="33">
        <v>46052</v>
      </c>
      <c r="F212" s="32" t="s">
        <v>662</v>
      </c>
      <c r="G212" s="32" t="s">
        <v>16</v>
      </c>
      <c r="H212" s="38">
        <v>44044</v>
      </c>
      <c r="I212" s="113"/>
      <c r="J212" s="113"/>
      <c r="K212" s="38"/>
      <c r="L212" s="34">
        <f t="shared" si="27"/>
        <v>44044</v>
      </c>
      <c r="M212" s="39" t="s">
        <v>12</v>
      </c>
      <c r="N212" s="39">
        <v>46</v>
      </c>
      <c r="O212" s="58" t="s">
        <v>25</v>
      </c>
      <c r="P212" s="100">
        <v>46098</v>
      </c>
      <c r="Q212" s="1">
        <f t="shared" si="28"/>
        <v>46</v>
      </c>
      <c r="R212" s="3"/>
    </row>
    <row r="213" spans="1:18" ht="13.5" customHeight="1" x14ac:dyDescent="0.25">
      <c r="A213" s="32" t="s">
        <v>679</v>
      </c>
      <c r="B213" s="164">
        <f t="shared" ca="1" si="25"/>
        <v>46114</v>
      </c>
      <c r="C213" s="164"/>
      <c r="D213" s="167">
        <f t="shared" ca="1" si="26"/>
        <v>56</v>
      </c>
      <c r="E213" s="33">
        <v>46058</v>
      </c>
      <c r="F213" s="32" t="s">
        <v>678</v>
      </c>
      <c r="G213" s="32" t="s">
        <v>553</v>
      </c>
      <c r="H213" s="38">
        <v>39825</v>
      </c>
      <c r="I213" s="113"/>
      <c r="J213" s="113"/>
      <c r="K213" s="38"/>
      <c r="L213" s="34">
        <f t="shared" si="27"/>
        <v>39825</v>
      </c>
      <c r="M213" s="39" t="s">
        <v>12</v>
      </c>
      <c r="N213" s="39">
        <v>40</v>
      </c>
      <c r="O213" s="58" t="s">
        <v>26</v>
      </c>
      <c r="P213" s="100">
        <v>46098</v>
      </c>
      <c r="Q213" s="1">
        <f t="shared" si="28"/>
        <v>40</v>
      </c>
      <c r="R213" s="3"/>
    </row>
    <row r="214" spans="1:18" ht="13.5" customHeight="1" x14ac:dyDescent="0.25">
      <c r="A214" s="32" t="s">
        <v>681</v>
      </c>
      <c r="B214" s="164">
        <f t="shared" ca="1" si="25"/>
        <v>46114</v>
      </c>
      <c r="C214" s="164"/>
      <c r="D214" s="167">
        <f t="shared" ca="1" si="26"/>
        <v>55</v>
      </c>
      <c r="E214" s="33">
        <v>46059</v>
      </c>
      <c r="F214" s="32" t="s">
        <v>680</v>
      </c>
      <c r="G214" s="32" t="s">
        <v>23</v>
      </c>
      <c r="H214" s="38">
        <v>28674</v>
      </c>
      <c r="I214" s="113"/>
      <c r="J214" s="113"/>
      <c r="K214" s="38"/>
      <c r="L214" s="34">
        <f t="shared" si="27"/>
        <v>28674</v>
      </c>
      <c r="M214" s="39" t="s">
        <v>12</v>
      </c>
      <c r="N214" s="39">
        <v>39</v>
      </c>
      <c r="O214" s="58" t="s">
        <v>26</v>
      </c>
      <c r="P214" s="100">
        <v>46098</v>
      </c>
      <c r="Q214" s="1">
        <f t="shared" si="28"/>
        <v>39</v>
      </c>
      <c r="R214" s="3"/>
    </row>
    <row r="215" spans="1:18" ht="13.5" customHeight="1" x14ac:dyDescent="0.25">
      <c r="A215" s="32" t="s">
        <v>683</v>
      </c>
      <c r="B215" s="164">
        <f t="shared" ca="1" si="25"/>
        <v>46114</v>
      </c>
      <c r="C215" s="164"/>
      <c r="D215" s="167">
        <f t="shared" ca="1" si="26"/>
        <v>55</v>
      </c>
      <c r="E215" s="33">
        <v>46059</v>
      </c>
      <c r="F215" s="32" t="s">
        <v>682</v>
      </c>
      <c r="G215" s="32" t="s">
        <v>34</v>
      </c>
      <c r="H215" s="38">
        <v>5310</v>
      </c>
      <c r="I215" s="113"/>
      <c r="J215" s="113"/>
      <c r="K215" s="38"/>
      <c r="L215" s="34">
        <f t="shared" si="27"/>
        <v>5310</v>
      </c>
      <c r="M215" s="39" t="s">
        <v>12</v>
      </c>
      <c r="N215" s="39">
        <v>39</v>
      </c>
      <c r="O215" s="58" t="s">
        <v>26</v>
      </c>
      <c r="P215" s="100">
        <v>46098</v>
      </c>
      <c r="Q215" s="1">
        <f t="shared" si="28"/>
        <v>39</v>
      </c>
      <c r="R215" s="3"/>
    </row>
    <row r="216" spans="1:18" ht="13.5" customHeight="1" x14ac:dyDescent="0.25">
      <c r="A216" s="32" t="s">
        <v>711</v>
      </c>
      <c r="B216" s="164">
        <f t="shared" ca="1" si="25"/>
        <v>46114</v>
      </c>
      <c r="C216" s="164"/>
      <c r="D216" s="167">
        <f t="shared" ca="1" si="26"/>
        <v>42</v>
      </c>
      <c r="E216" s="33">
        <v>46072</v>
      </c>
      <c r="F216" s="32" t="s">
        <v>710</v>
      </c>
      <c r="G216" s="32" t="s">
        <v>23</v>
      </c>
      <c r="H216" s="38">
        <v>15930</v>
      </c>
      <c r="I216" s="113"/>
      <c r="J216" s="113">
        <v>15930</v>
      </c>
      <c r="K216" s="38"/>
      <c r="L216" s="34">
        <f t="shared" si="27"/>
        <v>0</v>
      </c>
      <c r="M216" s="39" t="s">
        <v>12</v>
      </c>
      <c r="N216" s="39">
        <v>26</v>
      </c>
      <c r="O216" s="58" t="s">
        <v>26</v>
      </c>
      <c r="P216" s="100">
        <v>46098</v>
      </c>
      <c r="Q216" s="1">
        <f t="shared" si="28"/>
        <v>0</v>
      </c>
      <c r="R216" s="3"/>
    </row>
    <row r="217" spans="1:18" ht="13.5" customHeight="1" x14ac:dyDescent="0.25">
      <c r="A217" s="32" t="s">
        <v>148</v>
      </c>
      <c r="B217" s="164">
        <f t="shared" ca="1" si="25"/>
        <v>46114</v>
      </c>
      <c r="C217" s="164"/>
      <c r="D217" s="167">
        <f t="shared" ca="1" si="26"/>
        <v>41</v>
      </c>
      <c r="E217" s="33">
        <v>46073</v>
      </c>
      <c r="F217" s="32" t="s">
        <v>714</v>
      </c>
      <c r="G217" s="32" t="s">
        <v>715</v>
      </c>
      <c r="H217" s="38">
        <v>220306</v>
      </c>
      <c r="I217" s="113"/>
      <c r="J217" s="113"/>
      <c r="K217" s="38"/>
      <c r="L217" s="34">
        <f t="shared" si="27"/>
        <v>220306</v>
      </c>
      <c r="M217" s="39" t="s">
        <v>12</v>
      </c>
      <c r="N217" s="39">
        <v>25</v>
      </c>
      <c r="O217" s="58" t="s">
        <v>26</v>
      </c>
      <c r="P217" s="100">
        <v>46098</v>
      </c>
      <c r="Q217" s="1">
        <f t="shared" si="28"/>
        <v>25</v>
      </c>
      <c r="R217" s="3"/>
    </row>
    <row r="218" spans="1:18" ht="13.5" customHeight="1" x14ac:dyDescent="0.25">
      <c r="A218" s="32" t="s">
        <v>738</v>
      </c>
      <c r="B218" s="164">
        <f t="shared" ca="1" si="25"/>
        <v>46114</v>
      </c>
      <c r="C218" s="164"/>
      <c r="D218" s="167">
        <f t="shared" ca="1" si="26"/>
        <v>33</v>
      </c>
      <c r="E218" s="33">
        <v>46081</v>
      </c>
      <c r="F218" s="32" t="s">
        <v>737</v>
      </c>
      <c r="G218" s="32" t="s">
        <v>92</v>
      </c>
      <c r="H218" s="38">
        <v>26550</v>
      </c>
      <c r="I218" s="113"/>
      <c r="J218" s="113">
        <v>26550</v>
      </c>
      <c r="K218" s="38">
        <v>0</v>
      </c>
      <c r="L218" s="34">
        <f t="shared" si="27"/>
        <v>0</v>
      </c>
      <c r="M218" s="39" t="s">
        <v>12</v>
      </c>
      <c r="N218" s="39">
        <v>17</v>
      </c>
      <c r="O218" s="58" t="s">
        <v>26</v>
      </c>
      <c r="P218" s="100">
        <v>46098</v>
      </c>
      <c r="Q218" s="1">
        <f t="shared" si="28"/>
        <v>0</v>
      </c>
      <c r="R218" s="3"/>
    </row>
    <row r="219" spans="1:18" ht="13.5" customHeight="1" x14ac:dyDescent="0.25">
      <c r="A219" s="32" t="s">
        <v>757</v>
      </c>
      <c r="B219" s="164">
        <f t="shared" ca="1" si="25"/>
        <v>46114</v>
      </c>
      <c r="C219" s="164"/>
      <c r="D219" s="167">
        <f t="shared" ca="1" si="26"/>
        <v>23</v>
      </c>
      <c r="E219" s="33">
        <v>46091</v>
      </c>
      <c r="F219" s="32" t="s">
        <v>756</v>
      </c>
      <c r="G219" s="32" t="s">
        <v>282</v>
      </c>
      <c r="H219" s="38">
        <v>19328</v>
      </c>
      <c r="I219" s="113"/>
      <c r="J219" s="113"/>
      <c r="K219" s="38"/>
      <c r="L219" s="34">
        <f t="shared" si="27"/>
        <v>19328</v>
      </c>
      <c r="M219" s="39" t="s">
        <v>12</v>
      </c>
      <c r="N219" s="39">
        <v>7</v>
      </c>
      <c r="O219" s="58" t="s">
        <v>26</v>
      </c>
      <c r="P219" s="100">
        <v>46098</v>
      </c>
      <c r="Q219" s="1">
        <f t="shared" si="28"/>
        <v>7</v>
      </c>
      <c r="R219" s="3"/>
    </row>
    <row r="220" spans="1:18" ht="13.5" customHeight="1" x14ac:dyDescent="0.25">
      <c r="A220" s="32" t="s">
        <v>758</v>
      </c>
      <c r="B220" s="164">
        <f t="shared" ca="1" si="25"/>
        <v>46114</v>
      </c>
      <c r="C220" s="164"/>
      <c r="D220" s="167">
        <f t="shared" ca="1" si="26"/>
        <v>21</v>
      </c>
      <c r="E220" s="33">
        <v>46093</v>
      </c>
      <c r="F220" s="32" t="s">
        <v>759</v>
      </c>
      <c r="G220" s="32" t="s">
        <v>34</v>
      </c>
      <c r="H220" s="38">
        <v>3983</v>
      </c>
      <c r="I220" s="113"/>
      <c r="J220" s="113">
        <v>3983</v>
      </c>
      <c r="K220" s="38"/>
      <c r="L220" s="34">
        <f t="shared" si="27"/>
        <v>0</v>
      </c>
      <c r="M220" s="39" t="s">
        <v>12</v>
      </c>
      <c r="N220" s="39">
        <v>0</v>
      </c>
      <c r="O220" s="58" t="s">
        <v>26</v>
      </c>
      <c r="P220" s="100">
        <v>46098</v>
      </c>
      <c r="Q220" s="1">
        <f t="shared" si="28"/>
        <v>0</v>
      </c>
      <c r="R220" s="3"/>
    </row>
    <row r="221" spans="1:18" ht="13.5" customHeight="1" x14ac:dyDescent="0.25">
      <c r="A221" s="32" t="s">
        <v>162</v>
      </c>
      <c r="B221" s="164">
        <f t="shared" ca="1" si="25"/>
        <v>46114</v>
      </c>
      <c r="C221" s="164"/>
      <c r="D221" s="167">
        <f t="shared" ca="1" si="26"/>
        <v>20</v>
      </c>
      <c r="E221" s="33">
        <v>46094</v>
      </c>
      <c r="F221" s="32" t="s">
        <v>762</v>
      </c>
      <c r="G221" s="32" t="s">
        <v>23</v>
      </c>
      <c r="H221" s="38">
        <v>15930</v>
      </c>
      <c r="I221" s="113"/>
      <c r="J221" s="113"/>
      <c r="K221" s="38"/>
      <c r="L221" s="34">
        <f t="shared" si="27"/>
        <v>15930</v>
      </c>
      <c r="M221" s="39" t="s">
        <v>12</v>
      </c>
      <c r="N221" s="39">
        <v>4</v>
      </c>
      <c r="O221" s="58" t="s">
        <v>26</v>
      </c>
      <c r="P221" s="100">
        <v>46098</v>
      </c>
      <c r="Q221" s="1">
        <f t="shared" si="28"/>
        <v>4</v>
      </c>
      <c r="R221" s="3"/>
    </row>
    <row r="222" spans="1:18" ht="13.5" customHeight="1" x14ac:dyDescent="0.25">
      <c r="A222" s="32" t="s">
        <v>763</v>
      </c>
      <c r="B222" s="164">
        <f t="shared" ca="1" si="25"/>
        <v>46114</v>
      </c>
      <c r="C222" s="164"/>
      <c r="D222" s="167">
        <f t="shared" ca="1" si="26"/>
        <v>20</v>
      </c>
      <c r="E222" s="33">
        <v>46094</v>
      </c>
      <c r="F222" s="32" t="s">
        <v>764</v>
      </c>
      <c r="G222" s="32" t="s">
        <v>34</v>
      </c>
      <c r="H222" s="38">
        <v>9558</v>
      </c>
      <c r="I222" s="113"/>
      <c r="J222" s="113"/>
      <c r="K222" s="38"/>
      <c r="L222" s="34">
        <f t="shared" si="27"/>
        <v>9558</v>
      </c>
      <c r="M222" s="39" t="s">
        <v>12</v>
      </c>
      <c r="N222" s="39">
        <v>4</v>
      </c>
      <c r="O222" s="58" t="s">
        <v>26</v>
      </c>
      <c r="P222" s="100">
        <v>46098</v>
      </c>
      <c r="Q222" s="1">
        <f t="shared" si="28"/>
        <v>4</v>
      </c>
      <c r="R222" s="3"/>
    </row>
    <row r="223" spans="1:18" ht="13.5" customHeight="1" x14ac:dyDescent="0.25">
      <c r="A223" s="32" t="s">
        <v>766</v>
      </c>
      <c r="B223" s="164">
        <f t="shared" ca="1" si="25"/>
        <v>46114</v>
      </c>
      <c r="C223" s="164"/>
      <c r="D223" s="167">
        <f t="shared" ca="1" si="26"/>
        <v>20</v>
      </c>
      <c r="E223" s="33">
        <v>46094</v>
      </c>
      <c r="F223" s="32" t="s">
        <v>765</v>
      </c>
      <c r="G223" s="32" t="s">
        <v>23</v>
      </c>
      <c r="H223" s="38">
        <v>15930</v>
      </c>
      <c r="I223" s="113"/>
      <c r="J223" s="113">
        <v>15930</v>
      </c>
      <c r="K223" s="38"/>
      <c r="L223" s="34">
        <f t="shared" si="27"/>
        <v>0</v>
      </c>
      <c r="M223" s="39" t="s">
        <v>12</v>
      </c>
      <c r="N223" s="39">
        <v>0</v>
      </c>
      <c r="O223" s="58" t="s">
        <v>26</v>
      </c>
      <c r="P223" s="100">
        <v>46098</v>
      </c>
      <c r="Q223" s="1">
        <f t="shared" si="28"/>
        <v>0</v>
      </c>
      <c r="R223" s="3"/>
    </row>
    <row r="224" spans="1:18" ht="13.5" customHeight="1" x14ac:dyDescent="0.25">
      <c r="A224" s="32" t="s">
        <v>772</v>
      </c>
      <c r="B224" s="164">
        <f t="shared" ca="1" si="25"/>
        <v>46114</v>
      </c>
      <c r="C224" s="164"/>
      <c r="D224" s="167">
        <f t="shared" ca="1" si="26"/>
        <v>17</v>
      </c>
      <c r="E224" s="33">
        <v>46097</v>
      </c>
      <c r="F224" s="32" t="s">
        <v>771</v>
      </c>
      <c r="G224" s="32" t="s">
        <v>34</v>
      </c>
      <c r="H224" s="38"/>
      <c r="I224" s="113">
        <v>5310</v>
      </c>
      <c r="J224" s="113"/>
      <c r="K224" s="38"/>
      <c r="L224" s="34">
        <f t="shared" si="27"/>
        <v>5310</v>
      </c>
      <c r="M224" s="39" t="s">
        <v>12</v>
      </c>
      <c r="N224" s="39">
        <v>1</v>
      </c>
      <c r="O224" s="58" t="s">
        <v>26</v>
      </c>
      <c r="P224" s="100">
        <v>46098</v>
      </c>
      <c r="Q224" s="1">
        <f t="shared" si="28"/>
        <v>1</v>
      </c>
      <c r="R224" s="3"/>
    </row>
    <row r="225" spans="1:18" ht="13.5" customHeight="1" x14ac:dyDescent="0.25">
      <c r="A225" s="32" t="s">
        <v>773</v>
      </c>
      <c r="B225" s="164">
        <f t="shared" ca="1" si="25"/>
        <v>46114</v>
      </c>
      <c r="C225" s="164"/>
      <c r="D225" s="167">
        <f t="shared" ca="1" si="26"/>
        <v>16</v>
      </c>
      <c r="E225" s="33">
        <v>46098</v>
      </c>
      <c r="F225" s="32" t="s">
        <v>774</v>
      </c>
      <c r="G225" s="32" t="s">
        <v>34</v>
      </c>
      <c r="H225" s="38"/>
      <c r="I225" s="113">
        <v>5310</v>
      </c>
      <c r="J225" s="113">
        <v>5310</v>
      </c>
      <c r="K225" s="38"/>
      <c r="L225" s="34">
        <f t="shared" si="27"/>
        <v>0</v>
      </c>
      <c r="M225" s="39" t="s">
        <v>12</v>
      </c>
      <c r="N225" s="39">
        <v>0</v>
      </c>
      <c r="O225" s="58" t="s">
        <v>26</v>
      </c>
      <c r="P225" s="100">
        <v>46098</v>
      </c>
      <c r="Q225" s="1">
        <f t="shared" si="28"/>
        <v>0</v>
      </c>
      <c r="R225" s="3"/>
    </row>
    <row r="226" spans="1:18" ht="13.5" customHeight="1" x14ac:dyDescent="0.25">
      <c r="A226" s="32" t="s">
        <v>778</v>
      </c>
      <c r="B226" s="164">
        <f t="shared" ca="1" si="25"/>
        <v>46114</v>
      </c>
      <c r="C226" s="164"/>
      <c r="D226" s="167">
        <f t="shared" ca="1" si="26"/>
        <v>16</v>
      </c>
      <c r="E226" s="33">
        <v>46098</v>
      </c>
      <c r="F226" s="32" t="s">
        <v>777</v>
      </c>
      <c r="G226" s="32" t="s">
        <v>123</v>
      </c>
      <c r="H226" s="38"/>
      <c r="I226" s="113">
        <v>229392</v>
      </c>
      <c r="J226" s="113"/>
      <c r="K226" s="38">
        <v>229392</v>
      </c>
      <c r="L226" s="34">
        <f t="shared" si="27"/>
        <v>0</v>
      </c>
      <c r="M226" s="39" t="s">
        <v>12</v>
      </c>
      <c r="N226" s="39">
        <v>0</v>
      </c>
      <c r="O226" s="58" t="s">
        <v>26</v>
      </c>
      <c r="P226" s="100">
        <v>46098</v>
      </c>
      <c r="Q226" s="1">
        <f t="shared" si="28"/>
        <v>0</v>
      </c>
      <c r="R226" s="3"/>
    </row>
    <row r="227" spans="1:18" ht="13.5" customHeight="1" x14ac:dyDescent="0.25">
      <c r="A227" s="32" t="s">
        <v>888</v>
      </c>
      <c r="B227" s="164">
        <f t="shared" ca="1" si="25"/>
        <v>46114</v>
      </c>
      <c r="C227" s="164"/>
      <c r="D227" s="167">
        <f t="shared" ca="1" si="26"/>
        <v>9</v>
      </c>
      <c r="E227" s="33">
        <v>46105</v>
      </c>
      <c r="F227" s="32" t="s">
        <v>889</v>
      </c>
      <c r="G227" s="32" t="s">
        <v>34</v>
      </c>
      <c r="H227" s="38"/>
      <c r="I227" s="34">
        <v>5310</v>
      </c>
      <c r="J227" s="113"/>
      <c r="K227" s="38"/>
      <c r="L227" s="34">
        <f t="shared" si="27"/>
        <v>5310</v>
      </c>
      <c r="M227" s="39" t="s">
        <v>12</v>
      </c>
      <c r="N227" s="39"/>
      <c r="O227" s="58"/>
      <c r="P227" s="100"/>
      <c r="Q227" s="1"/>
      <c r="R227" s="3"/>
    </row>
    <row r="228" spans="1:18" ht="13.5" customHeight="1" x14ac:dyDescent="0.25">
      <c r="A228" s="32" t="s">
        <v>888</v>
      </c>
      <c r="B228" s="164">
        <f t="shared" ca="1" si="25"/>
        <v>46114</v>
      </c>
      <c r="C228" s="164"/>
      <c r="D228" s="167">
        <f t="shared" ca="1" si="26"/>
        <v>9</v>
      </c>
      <c r="E228" s="33">
        <v>46105</v>
      </c>
      <c r="F228" s="32" t="s">
        <v>890</v>
      </c>
      <c r="G228" s="32" t="s">
        <v>34</v>
      </c>
      <c r="H228" s="38"/>
      <c r="I228" s="34">
        <v>9558</v>
      </c>
      <c r="J228" s="113"/>
      <c r="K228" s="38"/>
      <c r="L228" s="34">
        <f t="shared" si="27"/>
        <v>9558</v>
      </c>
      <c r="M228" s="39" t="s">
        <v>12</v>
      </c>
      <c r="N228" s="39"/>
      <c r="O228" s="58"/>
      <c r="P228" s="100"/>
      <c r="Q228" s="1"/>
      <c r="R228" s="3"/>
    </row>
    <row r="229" spans="1:18" ht="13.5" customHeight="1" x14ac:dyDescent="0.25">
      <c r="A229" s="32" t="s">
        <v>891</v>
      </c>
      <c r="B229" s="164">
        <f t="shared" ca="1" si="25"/>
        <v>46114</v>
      </c>
      <c r="C229" s="164"/>
      <c r="D229" s="167">
        <f t="shared" ca="1" si="26"/>
        <v>9</v>
      </c>
      <c r="E229" s="33">
        <v>46105</v>
      </c>
      <c r="F229" s="32" t="s">
        <v>892</v>
      </c>
      <c r="G229" s="32" t="s">
        <v>34</v>
      </c>
      <c r="H229" s="38"/>
      <c r="I229" s="34">
        <v>5310</v>
      </c>
      <c r="J229" s="113"/>
      <c r="K229" s="38"/>
      <c r="L229" s="34">
        <f t="shared" si="27"/>
        <v>5310</v>
      </c>
      <c r="M229" s="39" t="s">
        <v>12</v>
      </c>
      <c r="N229" s="39"/>
      <c r="O229" s="58"/>
      <c r="P229" s="100"/>
      <c r="Q229" s="1"/>
      <c r="R229" s="3"/>
    </row>
    <row r="230" spans="1:18" ht="13.5" customHeight="1" x14ac:dyDescent="0.25">
      <c r="A230" s="32" t="s">
        <v>893</v>
      </c>
      <c r="B230" s="164">
        <f t="shared" ca="1" si="25"/>
        <v>46114</v>
      </c>
      <c r="C230" s="164"/>
      <c r="D230" s="167">
        <f t="shared" ca="1" si="26"/>
        <v>7</v>
      </c>
      <c r="E230" s="33">
        <v>46107</v>
      </c>
      <c r="F230" s="32" t="s">
        <v>894</v>
      </c>
      <c r="G230" s="32" t="s">
        <v>34</v>
      </c>
      <c r="H230" s="38"/>
      <c r="I230" s="34">
        <v>5310</v>
      </c>
      <c r="J230" s="113"/>
      <c r="K230" s="38"/>
      <c r="L230" s="34">
        <f t="shared" si="27"/>
        <v>5310</v>
      </c>
      <c r="M230" s="39" t="s">
        <v>12</v>
      </c>
      <c r="N230" s="39"/>
      <c r="O230" s="58"/>
      <c r="P230" s="100"/>
      <c r="Q230" s="1"/>
      <c r="R230" s="3"/>
    </row>
    <row r="231" spans="1:18" ht="13.5" customHeight="1" x14ac:dyDescent="0.25">
      <c r="A231" s="32" t="s">
        <v>895</v>
      </c>
      <c r="B231" s="164">
        <f t="shared" ca="1" si="25"/>
        <v>46114</v>
      </c>
      <c r="C231" s="164"/>
      <c r="D231" s="167">
        <f t="shared" ca="1" si="26"/>
        <v>7</v>
      </c>
      <c r="E231" s="33">
        <v>46107</v>
      </c>
      <c r="F231" s="32" t="s">
        <v>896</v>
      </c>
      <c r="G231" s="32" t="s">
        <v>34</v>
      </c>
      <c r="H231" s="38"/>
      <c r="I231" s="34">
        <v>5310</v>
      </c>
      <c r="J231" s="113"/>
      <c r="K231" s="38"/>
      <c r="L231" s="34">
        <f t="shared" si="27"/>
        <v>5310</v>
      </c>
      <c r="M231" s="39" t="s">
        <v>12</v>
      </c>
      <c r="N231" s="39"/>
      <c r="O231" s="58"/>
      <c r="P231" s="100"/>
      <c r="Q231" s="1"/>
      <c r="R231" s="3"/>
    </row>
    <row r="232" spans="1:18" ht="13.5" customHeight="1" x14ac:dyDescent="0.25">
      <c r="A232" s="32" t="s">
        <v>897</v>
      </c>
      <c r="B232" s="164">
        <f t="shared" ca="1" si="25"/>
        <v>46114</v>
      </c>
      <c r="C232" s="164"/>
      <c r="D232" s="167">
        <f t="shared" ca="1" si="26"/>
        <v>7</v>
      </c>
      <c r="E232" s="33">
        <v>46107</v>
      </c>
      <c r="F232" s="32" t="s">
        <v>898</v>
      </c>
      <c r="G232" s="32" t="s">
        <v>34</v>
      </c>
      <c r="H232" s="38"/>
      <c r="I232" s="34">
        <v>5310</v>
      </c>
      <c r="J232" s="113"/>
      <c r="K232" s="38"/>
      <c r="L232" s="34">
        <f t="shared" si="27"/>
        <v>5310</v>
      </c>
      <c r="M232" s="39" t="s">
        <v>12</v>
      </c>
      <c r="N232" s="39"/>
      <c r="O232" s="58"/>
      <c r="P232" s="100"/>
      <c r="Q232" s="1"/>
      <c r="R232" s="3"/>
    </row>
    <row r="233" spans="1:18" ht="13.5" customHeight="1" x14ac:dyDescent="0.25">
      <c r="A233" s="32" t="s">
        <v>871</v>
      </c>
      <c r="B233" s="164">
        <f t="shared" ca="1" si="25"/>
        <v>46114</v>
      </c>
      <c r="C233" s="164"/>
      <c r="D233" s="167">
        <f t="shared" ca="1" si="26"/>
        <v>7</v>
      </c>
      <c r="E233" s="33">
        <v>46107</v>
      </c>
      <c r="F233" s="32" t="s">
        <v>899</v>
      </c>
      <c r="G233" s="32" t="s">
        <v>92</v>
      </c>
      <c r="H233" s="38"/>
      <c r="I233" s="34">
        <v>26550</v>
      </c>
      <c r="J233" s="113"/>
      <c r="K233" s="38"/>
      <c r="L233" s="34">
        <f t="shared" si="27"/>
        <v>26550</v>
      </c>
      <c r="M233" s="39" t="s">
        <v>12</v>
      </c>
      <c r="N233" s="39"/>
      <c r="O233" s="58"/>
      <c r="P233" s="100"/>
      <c r="Q233" s="1"/>
      <c r="R233" s="160"/>
    </row>
    <row r="234" spans="1:18" ht="13.5" customHeight="1" x14ac:dyDescent="0.25">
      <c r="A234" s="32" t="s">
        <v>871</v>
      </c>
      <c r="B234" s="164">
        <f t="shared" ca="1" si="25"/>
        <v>46114</v>
      </c>
      <c r="C234" s="164"/>
      <c r="D234" s="167">
        <f t="shared" ca="1" si="26"/>
        <v>7</v>
      </c>
      <c r="E234" s="33">
        <v>46107</v>
      </c>
      <c r="F234" s="32" t="s">
        <v>899</v>
      </c>
      <c r="G234" s="32" t="s">
        <v>34</v>
      </c>
      <c r="H234" s="38"/>
      <c r="I234" s="34">
        <v>3983</v>
      </c>
      <c r="J234" s="113"/>
      <c r="K234" s="38"/>
      <c r="L234" s="34">
        <f t="shared" si="27"/>
        <v>3983</v>
      </c>
      <c r="M234" s="39" t="s">
        <v>12</v>
      </c>
      <c r="N234" s="39"/>
      <c r="O234" s="58"/>
      <c r="P234" s="150"/>
      <c r="Q234" s="151"/>
      <c r="R234" s="160"/>
    </row>
    <row r="235" spans="1:18" ht="13.5" customHeight="1" x14ac:dyDescent="0.25">
      <c r="A235" s="32" t="s">
        <v>565</v>
      </c>
      <c r="B235" s="164">
        <f t="shared" ca="1" si="25"/>
        <v>46114</v>
      </c>
      <c r="C235" s="164"/>
      <c r="D235" s="167">
        <f t="shared" ca="1" si="26"/>
        <v>6</v>
      </c>
      <c r="E235" s="33">
        <v>46108</v>
      </c>
      <c r="F235" s="32" t="s">
        <v>900</v>
      </c>
      <c r="G235" s="32" t="s">
        <v>34</v>
      </c>
      <c r="H235" s="38"/>
      <c r="I235" s="34">
        <v>9558</v>
      </c>
      <c r="J235" s="113"/>
      <c r="K235" s="38"/>
      <c r="L235" s="34">
        <f t="shared" si="27"/>
        <v>9558</v>
      </c>
      <c r="M235" s="39" t="s">
        <v>12</v>
      </c>
      <c r="N235" s="39"/>
      <c r="O235" s="58"/>
      <c r="P235" s="100"/>
      <c r="Q235" s="1"/>
      <c r="R235" s="3"/>
    </row>
    <row r="236" spans="1:18" ht="13.5" customHeight="1" x14ac:dyDescent="0.25">
      <c r="A236" s="32" t="s">
        <v>901</v>
      </c>
      <c r="B236" s="164">
        <f t="shared" ca="1" si="25"/>
        <v>46114</v>
      </c>
      <c r="C236" s="164"/>
      <c r="D236" s="167">
        <f t="shared" ca="1" si="26"/>
        <v>6</v>
      </c>
      <c r="E236" s="33">
        <v>46108</v>
      </c>
      <c r="F236" s="32" t="s">
        <v>902</v>
      </c>
      <c r="G236" s="32" t="s">
        <v>282</v>
      </c>
      <c r="H236" s="38"/>
      <c r="I236" s="34">
        <v>38750</v>
      </c>
      <c r="J236" s="113"/>
      <c r="K236" s="38"/>
      <c r="L236" s="34">
        <f t="shared" si="27"/>
        <v>38750</v>
      </c>
      <c r="M236" s="39" t="s">
        <v>12</v>
      </c>
      <c r="N236" s="39"/>
      <c r="O236" s="58"/>
      <c r="P236" s="100"/>
      <c r="Q236" s="1"/>
      <c r="R236" s="3"/>
    </row>
    <row r="237" spans="1:18" ht="13.5" customHeight="1" x14ac:dyDescent="0.25">
      <c r="A237" s="32" t="s">
        <v>497</v>
      </c>
      <c r="B237" s="164">
        <f t="shared" ca="1" si="25"/>
        <v>46114</v>
      </c>
      <c r="C237" s="164"/>
      <c r="D237" s="167">
        <f t="shared" ca="1" si="26"/>
        <v>6</v>
      </c>
      <c r="E237" s="33">
        <v>46108</v>
      </c>
      <c r="F237" s="32" t="s">
        <v>903</v>
      </c>
      <c r="G237" s="32" t="s">
        <v>23</v>
      </c>
      <c r="H237" s="38"/>
      <c r="I237" s="34">
        <v>15930</v>
      </c>
      <c r="J237" s="113"/>
      <c r="K237" s="38"/>
      <c r="L237" s="34">
        <f t="shared" si="27"/>
        <v>15930</v>
      </c>
      <c r="M237" s="39" t="s">
        <v>12</v>
      </c>
      <c r="N237" s="39"/>
      <c r="O237" s="58"/>
      <c r="P237" s="100"/>
      <c r="Q237" s="1"/>
      <c r="R237" s="3"/>
    </row>
    <row r="238" spans="1:18" s="2" customFormat="1" ht="14.1" customHeight="1" x14ac:dyDescent="0.25">
      <c r="A238" s="36"/>
      <c r="B238" s="164">
        <f t="shared" ca="1" si="25"/>
        <v>46114</v>
      </c>
      <c r="C238" s="164"/>
      <c r="D238" s="36"/>
      <c r="E238" s="37"/>
      <c r="F238" s="36"/>
      <c r="G238" s="36"/>
      <c r="H238" s="72">
        <f>SUM(H200:H237)</f>
        <v>661164</v>
      </c>
      <c r="I238" s="72">
        <f>SUM(I200:I237)</f>
        <v>370891</v>
      </c>
      <c r="J238" s="72">
        <f>SUM(J200:J237)</f>
        <v>67703</v>
      </c>
      <c r="K238" s="72">
        <f>SUM(K200:K237)</f>
        <v>229392</v>
      </c>
      <c r="L238" s="72">
        <f>SUM(L200:L237)</f>
        <v>734960</v>
      </c>
      <c r="M238" s="72">
        <f>COUNTIF(L200:L226,"&gt;0")</f>
        <v>21</v>
      </c>
      <c r="N238" s="111"/>
      <c r="O238" s="179" t="s">
        <v>27</v>
      </c>
      <c r="P238" s="100"/>
      <c r="Q238" s="1"/>
    </row>
    <row r="239" spans="1:18" ht="14.1" customHeight="1" x14ac:dyDescent="0.25">
      <c r="A239" s="36"/>
      <c r="B239" s="164">
        <f t="shared" ca="1" si="25"/>
        <v>46114</v>
      </c>
      <c r="C239" s="164"/>
      <c r="D239" s="167">
        <f t="shared" ref="D239:D246" ca="1" si="29">B239-E239</f>
        <v>140</v>
      </c>
      <c r="E239" s="33">
        <v>45974</v>
      </c>
      <c r="F239" s="32" t="s">
        <v>467</v>
      </c>
      <c r="G239" s="32" t="s">
        <v>41</v>
      </c>
      <c r="H239" s="34">
        <v>9735</v>
      </c>
      <c r="I239" s="34"/>
      <c r="J239" s="34"/>
      <c r="K239" s="34"/>
      <c r="L239" s="34">
        <f t="shared" ref="L239:L246" si="30">+H239+I239-K239-J239</f>
        <v>9735</v>
      </c>
      <c r="M239" s="32" t="s">
        <v>9</v>
      </c>
      <c r="N239" s="39">
        <v>124</v>
      </c>
      <c r="O239" s="58" t="s">
        <v>24</v>
      </c>
      <c r="P239" s="100">
        <v>46098</v>
      </c>
      <c r="Q239" s="1">
        <f t="shared" ref="Q239:Q245" si="31">IF(L239=0,0,P239-E239)</f>
        <v>124</v>
      </c>
      <c r="R239" s="3"/>
    </row>
    <row r="240" spans="1:18" ht="14.1" customHeight="1" x14ac:dyDescent="0.25">
      <c r="A240" s="32" t="s">
        <v>504</v>
      </c>
      <c r="B240" s="164">
        <f t="shared" ca="1" si="25"/>
        <v>46114</v>
      </c>
      <c r="C240" s="164"/>
      <c r="D240" s="167">
        <f t="shared" ca="1" si="29"/>
        <v>112</v>
      </c>
      <c r="E240" s="33">
        <v>46002</v>
      </c>
      <c r="F240" s="32" t="s">
        <v>511</v>
      </c>
      <c r="G240" s="32" t="s">
        <v>40</v>
      </c>
      <c r="H240" s="34">
        <v>20157</v>
      </c>
      <c r="I240" s="34"/>
      <c r="J240" s="34"/>
      <c r="K240" s="34"/>
      <c r="L240" s="34">
        <f t="shared" si="30"/>
        <v>20157</v>
      </c>
      <c r="M240" s="32" t="s">
        <v>9</v>
      </c>
      <c r="N240" s="39">
        <v>96</v>
      </c>
      <c r="O240" s="58" t="s">
        <v>25</v>
      </c>
      <c r="P240" s="100">
        <v>46098</v>
      </c>
      <c r="Q240" s="1">
        <f t="shared" si="31"/>
        <v>96</v>
      </c>
      <c r="R240" s="3"/>
    </row>
    <row r="241" spans="1:24" ht="14.1" customHeight="1" x14ac:dyDescent="0.25">
      <c r="A241" s="32" t="s">
        <v>488</v>
      </c>
      <c r="B241" s="164">
        <f t="shared" ca="1" si="25"/>
        <v>46114</v>
      </c>
      <c r="C241" s="164"/>
      <c r="D241" s="167">
        <f t="shared" ca="1" si="29"/>
        <v>76</v>
      </c>
      <c r="E241" s="33">
        <v>46038</v>
      </c>
      <c r="F241" s="32" t="s">
        <v>624</v>
      </c>
      <c r="G241" s="32" t="s">
        <v>625</v>
      </c>
      <c r="H241" s="34">
        <v>13984</v>
      </c>
      <c r="I241" s="34"/>
      <c r="J241" s="34"/>
      <c r="K241" s="34"/>
      <c r="L241" s="34">
        <f t="shared" si="30"/>
        <v>13984</v>
      </c>
      <c r="M241" s="32" t="s">
        <v>9</v>
      </c>
      <c r="N241" s="39">
        <v>60</v>
      </c>
      <c r="O241" s="58" t="s">
        <v>25</v>
      </c>
      <c r="P241" s="100">
        <v>46098</v>
      </c>
      <c r="Q241" s="1">
        <f t="shared" si="31"/>
        <v>60</v>
      </c>
      <c r="R241" s="3"/>
    </row>
    <row r="242" spans="1:24" ht="14.1" customHeight="1" x14ac:dyDescent="0.25">
      <c r="A242" s="32" t="s">
        <v>650</v>
      </c>
      <c r="B242" s="164">
        <f t="shared" ca="1" si="25"/>
        <v>46114</v>
      </c>
      <c r="C242" s="164"/>
      <c r="D242" s="167">
        <f t="shared" ca="1" si="29"/>
        <v>68</v>
      </c>
      <c r="E242" s="33">
        <v>46046</v>
      </c>
      <c r="F242" s="32" t="s">
        <v>649</v>
      </c>
      <c r="G242" s="32" t="s">
        <v>34</v>
      </c>
      <c r="H242" s="34">
        <v>5310</v>
      </c>
      <c r="I242" s="34"/>
      <c r="J242" s="34"/>
      <c r="K242" s="34"/>
      <c r="L242" s="34">
        <f t="shared" si="30"/>
        <v>5310</v>
      </c>
      <c r="M242" s="32" t="s">
        <v>9</v>
      </c>
      <c r="N242" s="39">
        <v>52</v>
      </c>
      <c r="O242" s="58" t="s">
        <v>26</v>
      </c>
      <c r="P242" s="100">
        <v>46098</v>
      </c>
      <c r="Q242" s="1">
        <f t="shared" si="31"/>
        <v>52</v>
      </c>
      <c r="R242" s="3"/>
    </row>
    <row r="243" spans="1:24" ht="14.1" customHeight="1" x14ac:dyDescent="0.25">
      <c r="A243" s="32" t="s">
        <v>684</v>
      </c>
      <c r="B243" s="164">
        <f t="shared" ca="1" si="25"/>
        <v>46114</v>
      </c>
      <c r="C243" s="164"/>
      <c r="D243" s="167">
        <f t="shared" ca="1" si="29"/>
        <v>45</v>
      </c>
      <c r="E243" s="33">
        <v>46069</v>
      </c>
      <c r="F243" s="32" t="s">
        <v>705</v>
      </c>
      <c r="G243" s="32" t="s">
        <v>706</v>
      </c>
      <c r="H243" s="34">
        <v>7965</v>
      </c>
      <c r="I243" s="34"/>
      <c r="J243" s="34"/>
      <c r="K243" s="34"/>
      <c r="L243" s="34">
        <f t="shared" si="30"/>
        <v>7965</v>
      </c>
      <c r="M243" s="32" t="s">
        <v>9</v>
      </c>
      <c r="N243" s="39">
        <v>29</v>
      </c>
      <c r="O243" s="58" t="s">
        <v>26</v>
      </c>
      <c r="P243" s="100">
        <v>46098</v>
      </c>
      <c r="Q243" s="1">
        <f t="shared" si="31"/>
        <v>29</v>
      </c>
      <c r="R243" s="3"/>
    </row>
    <row r="244" spans="1:24" ht="14.1" customHeight="1" x14ac:dyDescent="0.25">
      <c r="A244" s="32" t="s">
        <v>350</v>
      </c>
      <c r="B244" s="164">
        <f t="shared" ca="1" si="25"/>
        <v>46114</v>
      </c>
      <c r="C244" s="164"/>
      <c r="D244" s="167">
        <f t="shared" ca="1" si="29"/>
        <v>31</v>
      </c>
      <c r="E244" s="33">
        <v>46083</v>
      </c>
      <c r="F244" s="32" t="s">
        <v>739</v>
      </c>
      <c r="G244" s="32" t="s">
        <v>740</v>
      </c>
      <c r="H244" s="34">
        <v>4720</v>
      </c>
      <c r="I244" s="34"/>
      <c r="J244" s="34"/>
      <c r="K244" s="34"/>
      <c r="L244" s="34">
        <f t="shared" si="30"/>
        <v>4720</v>
      </c>
      <c r="M244" s="32" t="s">
        <v>9</v>
      </c>
      <c r="N244" s="39">
        <v>15</v>
      </c>
      <c r="O244" s="58" t="s">
        <v>26</v>
      </c>
      <c r="P244" s="100">
        <v>46098</v>
      </c>
      <c r="Q244" s="1">
        <f t="shared" si="31"/>
        <v>15</v>
      </c>
      <c r="R244" s="3"/>
    </row>
    <row r="245" spans="1:24" ht="14.1" customHeight="1" x14ac:dyDescent="0.25">
      <c r="A245" s="32" t="s">
        <v>776</v>
      </c>
      <c r="B245" s="164">
        <f t="shared" ca="1" si="25"/>
        <v>46114</v>
      </c>
      <c r="C245" s="164"/>
      <c r="D245" s="167">
        <f t="shared" ca="1" si="29"/>
        <v>16</v>
      </c>
      <c r="E245" s="33">
        <v>46098</v>
      </c>
      <c r="F245" s="32" t="s">
        <v>775</v>
      </c>
      <c r="G245" s="32" t="s">
        <v>34</v>
      </c>
      <c r="H245" s="34"/>
      <c r="I245" s="34">
        <v>3983</v>
      </c>
      <c r="J245" s="34"/>
      <c r="K245" s="34"/>
      <c r="L245" s="34">
        <f t="shared" si="30"/>
        <v>3983</v>
      </c>
      <c r="M245" s="32" t="s">
        <v>9</v>
      </c>
      <c r="N245" s="39">
        <v>0</v>
      </c>
      <c r="O245" s="58" t="s">
        <v>26</v>
      </c>
      <c r="P245" s="100">
        <v>46098</v>
      </c>
      <c r="Q245" s="1">
        <f t="shared" si="31"/>
        <v>0</v>
      </c>
      <c r="R245" s="3"/>
    </row>
    <row r="246" spans="1:24" ht="14.1" customHeight="1" x14ac:dyDescent="0.25">
      <c r="A246" s="32" t="s">
        <v>787</v>
      </c>
      <c r="B246" s="164">
        <f t="shared" ca="1" si="25"/>
        <v>46114</v>
      </c>
      <c r="C246" s="164"/>
      <c r="D246" s="167">
        <f t="shared" ca="1" si="29"/>
        <v>15</v>
      </c>
      <c r="E246" s="33">
        <v>46099</v>
      </c>
      <c r="F246" s="32" t="s">
        <v>786</v>
      </c>
      <c r="G246" s="32" t="s">
        <v>34</v>
      </c>
      <c r="H246" s="34"/>
      <c r="I246" s="34">
        <v>5310</v>
      </c>
      <c r="J246" s="34"/>
      <c r="K246" s="34"/>
      <c r="L246" s="34">
        <f t="shared" si="30"/>
        <v>5310</v>
      </c>
      <c r="M246" s="32" t="s">
        <v>9</v>
      </c>
      <c r="N246" s="39"/>
      <c r="O246" s="58" t="s">
        <v>26</v>
      </c>
      <c r="P246" s="100"/>
      <c r="Q246" s="1"/>
      <c r="R246" s="3"/>
    </row>
    <row r="247" spans="1:24" s="2" customFormat="1" ht="14.1" customHeight="1" x14ac:dyDescent="0.25">
      <c r="A247" s="36"/>
      <c r="B247" s="164"/>
      <c r="C247" s="164"/>
      <c r="D247" s="36"/>
      <c r="E247" s="37"/>
      <c r="F247" s="36"/>
      <c r="G247" s="36"/>
      <c r="H247" s="72">
        <f>+SUM(H239:H245)</f>
        <v>61871</v>
      </c>
      <c r="I247" s="72">
        <f>+SUM(I239:I245)</f>
        <v>3983</v>
      </c>
      <c r="J247" s="72">
        <f>+SUM(J239:J245)</f>
        <v>0</v>
      </c>
      <c r="K247" s="72">
        <f>+SUM(K239:K245)</f>
        <v>0</v>
      </c>
      <c r="L247" s="72">
        <f>+SUM(L239:L245)</f>
        <v>65854</v>
      </c>
      <c r="M247" s="72">
        <f>COUNTIF(L239:L245,"&gt;0")</f>
        <v>7</v>
      </c>
      <c r="N247" s="111"/>
      <c r="O247" s="179" t="s">
        <v>27</v>
      </c>
    </row>
    <row r="248" spans="1:24" ht="14.1" customHeight="1" x14ac:dyDescent="0.25">
      <c r="A248" s="32" t="s">
        <v>464</v>
      </c>
      <c r="B248" s="164">
        <f t="shared" ca="1" si="25"/>
        <v>46114</v>
      </c>
      <c r="C248" s="164"/>
      <c r="D248" s="167">
        <f ca="1">B248-E248</f>
        <v>64</v>
      </c>
      <c r="E248" s="33">
        <v>46050</v>
      </c>
      <c r="F248" s="32" t="s">
        <v>651</v>
      </c>
      <c r="G248" s="32" t="s">
        <v>92</v>
      </c>
      <c r="H248" s="34">
        <v>0</v>
      </c>
      <c r="I248" s="34"/>
      <c r="J248" s="34">
        <v>0</v>
      </c>
      <c r="K248" s="34"/>
      <c r="L248" s="34">
        <f>+H248+I248-K248-J248</f>
        <v>0</v>
      </c>
      <c r="M248" s="32" t="s">
        <v>6</v>
      </c>
      <c r="N248" s="39">
        <v>0</v>
      </c>
      <c r="O248" s="58" t="s">
        <v>26</v>
      </c>
      <c r="P248" s="100">
        <v>46098</v>
      </c>
      <c r="Q248" s="1">
        <f>IF(L248=0,0,P248-E248)</f>
        <v>0</v>
      </c>
    </row>
    <row r="249" spans="1:24" s="2" customFormat="1" ht="14.1" customHeight="1" x14ac:dyDescent="0.25">
      <c r="A249" s="36"/>
      <c r="B249" s="164"/>
      <c r="C249" s="164"/>
      <c r="D249" s="167"/>
      <c r="E249" s="37"/>
      <c r="F249" s="36"/>
      <c r="G249" s="36"/>
      <c r="H249" s="72">
        <f>SUM(H248:H248)</f>
        <v>0</v>
      </c>
      <c r="I249" s="72">
        <f>SUM(I248:I248)</f>
        <v>0</v>
      </c>
      <c r="J249" s="72">
        <f>SUM(J248:J248)</f>
        <v>0</v>
      </c>
      <c r="K249" s="72">
        <f>SUM(K248:K248)</f>
        <v>0</v>
      </c>
      <c r="L249" s="72">
        <f>SUM(L248:L248)</f>
        <v>0</v>
      </c>
      <c r="M249" s="72">
        <f>COUNTIF(L248:L248,"&gt;0")</f>
        <v>0</v>
      </c>
      <c r="N249" s="111"/>
      <c r="O249" s="179" t="s">
        <v>27</v>
      </c>
    </row>
    <row r="250" spans="1:24" ht="14.1" customHeight="1" x14ac:dyDescent="0.25">
      <c r="A250" s="32" t="s">
        <v>17</v>
      </c>
      <c r="B250" s="164">
        <f t="shared" ca="1" si="25"/>
        <v>46114</v>
      </c>
      <c r="C250" s="164"/>
      <c r="D250" s="167">
        <f t="shared" ref="D250:D255" ca="1" si="32">B250-E250</f>
        <v>337</v>
      </c>
      <c r="E250" s="33">
        <v>45777</v>
      </c>
      <c r="F250" s="32" t="s">
        <v>112</v>
      </c>
      <c r="G250" s="32" t="s">
        <v>113</v>
      </c>
      <c r="H250" s="38">
        <v>141900</v>
      </c>
      <c r="I250" s="38"/>
      <c r="J250" s="38"/>
      <c r="K250" s="38"/>
      <c r="L250" s="34">
        <f t="shared" ref="L250:L255" si="33">+H250+I250-K250-J250</f>
        <v>141900</v>
      </c>
      <c r="M250" s="32" t="s">
        <v>15</v>
      </c>
      <c r="N250" s="39">
        <v>321</v>
      </c>
      <c r="O250" s="58" t="s">
        <v>25</v>
      </c>
      <c r="P250" s="100">
        <v>46098</v>
      </c>
      <c r="Q250" s="1">
        <f t="shared" ref="Q250:Q255" si="34">IF(L250=0,0,P250-E250)</f>
        <v>321</v>
      </c>
      <c r="R250" s="149"/>
      <c r="S250" s="149"/>
      <c r="T250" s="149"/>
      <c r="U250" s="149"/>
      <c r="V250" s="149"/>
      <c r="W250" s="149"/>
      <c r="X250" s="149"/>
    </row>
    <row r="251" spans="1:24" ht="14.1" customHeight="1" x14ac:dyDescent="0.25">
      <c r="A251" s="32" t="s">
        <v>181</v>
      </c>
      <c r="B251" s="164">
        <f t="shared" ca="1" si="25"/>
        <v>46114</v>
      </c>
      <c r="C251" s="164"/>
      <c r="D251" s="167">
        <f t="shared" ca="1" si="32"/>
        <v>282</v>
      </c>
      <c r="E251" s="33">
        <v>45832</v>
      </c>
      <c r="F251" s="32" t="s">
        <v>180</v>
      </c>
      <c r="G251" s="32" t="s">
        <v>182</v>
      </c>
      <c r="H251" s="38">
        <v>4942</v>
      </c>
      <c r="I251" s="38"/>
      <c r="J251" s="38"/>
      <c r="K251" s="38"/>
      <c r="L251" s="34">
        <f t="shared" si="33"/>
        <v>4942</v>
      </c>
      <c r="M251" s="32" t="s">
        <v>15</v>
      </c>
      <c r="N251" s="39">
        <v>266</v>
      </c>
      <c r="O251" s="58" t="s">
        <v>26</v>
      </c>
      <c r="P251" s="100">
        <v>46098</v>
      </c>
      <c r="Q251" s="1">
        <f t="shared" si="34"/>
        <v>266</v>
      </c>
      <c r="U251" s="76"/>
      <c r="V251" s="76"/>
    </row>
    <row r="252" spans="1:24" ht="14.1" customHeight="1" x14ac:dyDescent="0.25">
      <c r="A252" s="32" t="s">
        <v>148</v>
      </c>
      <c r="B252" s="164">
        <f t="shared" ca="1" si="25"/>
        <v>46114</v>
      </c>
      <c r="C252" s="164"/>
      <c r="D252" s="167">
        <f t="shared" ca="1" si="32"/>
        <v>219</v>
      </c>
      <c r="E252" s="33">
        <v>45895</v>
      </c>
      <c r="F252" s="32" t="s">
        <v>292</v>
      </c>
      <c r="G252" s="32" t="s">
        <v>137</v>
      </c>
      <c r="H252" s="38">
        <v>2075</v>
      </c>
      <c r="I252" s="38"/>
      <c r="J252" s="38"/>
      <c r="K252" s="38"/>
      <c r="L252" s="34">
        <f t="shared" si="33"/>
        <v>2075</v>
      </c>
      <c r="M252" s="32" t="s">
        <v>15</v>
      </c>
      <c r="N252" s="39">
        <v>203</v>
      </c>
      <c r="O252" s="58" t="s">
        <v>26</v>
      </c>
      <c r="P252" s="100">
        <v>46098</v>
      </c>
      <c r="Q252" s="1">
        <f t="shared" si="34"/>
        <v>203</v>
      </c>
      <c r="U252" s="76"/>
      <c r="V252" s="76"/>
    </row>
    <row r="253" spans="1:24" ht="14.1" customHeight="1" x14ac:dyDescent="0.25">
      <c r="A253" s="32" t="s">
        <v>742</v>
      </c>
      <c r="B253" s="164">
        <f t="shared" ca="1" si="25"/>
        <v>46114</v>
      </c>
      <c r="C253" s="164"/>
      <c r="D253" s="167">
        <f t="shared" ca="1" si="32"/>
        <v>28</v>
      </c>
      <c r="E253" s="33">
        <v>46086</v>
      </c>
      <c r="F253" s="32" t="s">
        <v>741</v>
      </c>
      <c r="G253" s="32" t="s">
        <v>743</v>
      </c>
      <c r="H253" s="38">
        <v>45638</v>
      </c>
      <c r="I253" s="38"/>
      <c r="J253" s="38"/>
      <c r="K253" s="38"/>
      <c r="L253" s="34">
        <f t="shared" si="33"/>
        <v>45638</v>
      </c>
      <c r="M253" s="32" t="s">
        <v>15</v>
      </c>
      <c r="N253" s="39">
        <v>12</v>
      </c>
      <c r="O253" s="58" t="s">
        <v>26</v>
      </c>
      <c r="P253" s="100">
        <v>46098</v>
      </c>
      <c r="Q253" s="1">
        <f t="shared" si="34"/>
        <v>12</v>
      </c>
      <c r="U253" s="76"/>
      <c r="V253" s="76"/>
    </row>
    <row r="254" spans="1:24" ht="14.1" customHeight="1" x14ac:dyDescent="0.25">
      <c r="A254" s="32" t="s">
        <v>753</v>
      </c>
      <c r="B254" s="164">
        <f t="shared" ca="1" si="25"/>
        <v>46114</v>
      </c>
      <c r="C254" s="164"/>
      <c r="D254" s="167">
        <f t="shared" ca="1" si="32"/>
        <v>23</v>
      </c>
      <c r="E254" s="33">
        <v>46091</v>
      </c>
      <c r="F254" s="32" t="s">
        <v>754</v>
      </c>
      <c r="G254" s="32" t="s">
        <v>755</v>
      </c>
      <c r="H254" s="38">
        <v>105516</v>
      </c>
      <c r="I254" s="38"/>
      <c r="J254" s="38"/>
      <c r="K254" s="38"/>
      <c r="L254" s="34">
        <f t="shared" si="33"/>
        <v>105516</v>
      </c>
      <c r="M254" s="32" t="s">
        <v>15</v>
      </c>
      <c r="N254" s="39">
        <v>7</v>
      </c>
      <c r="O254" s="58" t="s">
        <v>26</v>
      </c>
      <c r="P254" s="100">
        <v>46098</v>
      </c>
      <c r="Q254" s="1">
        <f t="shared" si="34"/>
        <v>7</v>
      </c>
      <c r="U254" s="76"/>
      <c r="V254" s="76"/>
    </row>
    <row r="255" spans="1:24" ht="14.1" customHeight="1" x14ac:dyDescent="0.25">
      <c r="A255" s="32" t="s">
        <v>761</v>
      </c>
      <c r="B255" s="164">
        <f t="shared" ca="1" si="25"/>
        <v>46114</v>
      </c>
      <c r="C255" s="164"/>
      <c r="D255" s="167">
        <f t="shared" ca="1" si="32"/>
        <v>20</v>
      </c>
      <c r="E255" s="33">
        <v>46094</v>
      </c>
      <c r="F255" s="32" t="s">
        <v>760</v>
      </c>
      <c r="G255" s="32" t="s">
        <v>755</v>
      </c>
      <c r="H255" s="38">
        <v>23305</v>
      </c>
      <c r="I255" s="38"/>
      <c r="J255" s="38"/>
      <c r="K255" s="38"/>
      <c r="L255" s="34">
        <f t="shared" si="33"/>
        <v>23305</v>
      </c>
      <c r="M255" s="32" t="s">
        <v>15</v>
      </c>
      <c r="N255" s="39">
        <v>4</v>
      </c>
      <c r="O255" s="58" t="s">
        <v>26</v>
      </c>
      <c r="P255" s="100">
        <v>46098</v>
      </c>
      <c r="Q255" s="1">
        <f t="shared" si="34"/>
        <v>4</v>
      </c>
      <c r="U255" s="76"/>
      <c r="V255" s="76"/>
    </row>
    <row r="256" spans="1:24" s="2" customFormat="1" ht="14.1" customHeight="1" x14ac:dyDescent="0.25">
      <c r="A256" s="36"/>
      <c r="B256" s="164">
        <f t="shared" ca="1" si="25"/>
        <v>46114</v>
      </c>
      <c r="C256" s="164"/>
      <c r="D256" s="36"/>
      <c r="E256" s="37"/>
      <c r="F256" s="36"/>
      <c r="G256" s="36"/>
      <c r="H256" s="72">
        <f>SUM(H250:H255)</f>
        <v>323376</v>
      </c>
      <c r="I256" s="72">
        <f>SUM(I250:I255)</f>
        <v>0</v>
      </c>
      <c r="J256" s="72">
        <f>SUM(J250:J255)</f>
        <v>0</v>
      </c>
      <c r="K256" s="72">
        <f>SUM(K250:K255)</f>
        <v>0</v>
      </c>
      <c r="L256" s="72">
        <f>SUM(L250:L255)</f>
        <v>323376</v>
      </c>
      <c r="M256" s="72">
        <f>COUNTIF(L250:L255,"&gt;0")</f>
        <v>6</v>
      </c>
      <c r="N256" s="111"/>
      <c r="O256" s="179" t="s">
        <v>27</v>
      </c>
    </row>
    <row r="257" spans="1:24" ht="14.1" customHeight="1" x14ac:dyDescent="0.25">
      <c r="A257" s="32" t="s">
        <v>703</v>
      </c>
      <c r="B257" s="164">
        <f t="shared" ca="1" si="25"/>
        <v>46114</v>
      </c>
      <c r="C257" s="164"/>
      <c r="D257" s="167">
        <f ca="1">B257-E257</f>
        <v>42</v>
      </c>
      <c r="E257" s="33">
        <v>46072</v>
      </c>
      <c r="F257" s="32" t="s">
        <v>712</v>
      </c>
      <c r="G257" s="32" t="s">
        <v>113</v>
      </c>
      <c r="H257" s="38">
        <v>45900</v>
      </c>
      <c r="I257" s="38"/>
      <c r="J257" s="38"/>
      <c r="K257" s="38"/>
      <c r="L257" s="34">
        <f>+H257+I257-K257-J257</f>
        <v>45900</v>
      </c>
      <c r="M257" s="32" t="s">
        <v>575</v>
      </c>
      <c r="N257" s="39">
        <v>26</v>
      </c>
      <c r="O257" s="11" t="s">
        <v>24</v>
      </c>
      <c r="P257" s="100">
        <v>46098</v>
      </c>
      <c r="Q257" s="1">
        <f>IF(L257=0,0,P257-E257)</f>
        <v>26</v>
      </c>
      <c r="R257">
        <f>89801+318600</f>
        <v>408401</v>
      </c>
    </row>
    <row r="258" spans="1:24" s="2" customFormat="1" ht="14.1" customHeight="1" x14ac:dyDescent="0.25">
      <c r="A258" s="36"/>
      <c r="B258" s="164">
        <f t="shared" ca="1" si="25"/>
        <v>46114</v>
      </c>
      <c r="C258" s="164"/>
      <c r="D258" s="36"/>
      <c r="E258" s="37"/>
      <c r="F258" s="36"/>
      <c r="G258" s="36"/>
      <c r="H258" s="72">
        <f>+SUM(H257:H257)</f>
        <v>45900</v>
      </c>
      <c r="I258" s="72">
        <f>+SUM(I257:I257)</f>
        <v>0</v>
      </c>
      <c r="J258" s="72">
        <f>+SUM(J257:J257)</f>
        <v>0</v>
      </c>
      <c r="K258" s="72">
        <f>+SUM(K257:K257)</f>
        <v>0</v>
      </c>
      <c r="L258" s="72">
        <f>+SUM(L257:L257)</f>
        <v>45900</v>
      </c>
      <c r="M258" s="72">
        <f>COUNTIF(L257:L257,"&gt;0")</f>
        <v>1</v>
      </c>
      <c r="N258" s="111"/>
      <c r="O258" s="179" t="s">
        <v>44</v>
      </c>
    </row>
    <row r="259" spans="1:24" ht="14.1" customHeight="1" x14ac:dyDescent="0.25">
      <c r="A259" s="32" t="s">
        <v>37</v>
      </c>
      <c r="B259" s="164">
        <f t="shared" ref="B259:B293" ca="1" si="35">TODAY()</f>
        <v>46114</v>
      </c>
      <c r="C259" s="164"/>
      <c r="D259" s="167">
        <f ca="1">B259-E259</f>
        <v>555</v>
      </c>
      <c r="E259" s="33">
        <v>45559</v>
      </c>
      <c r="F259" s="32" t="s">
        <v>39</v>
      </c>
      <c r="G259" s="32" t="s">
        <v>42</v>
      </c>
      <c r="H259" s="34">
        <v>78411</v>
      </c>
      <c r="I259" s="34"/>
      <c r="J259" s="34"/>
      <c r="K259" s="34"/>
      <c r="L259" s="34">
        <f>+H259+I259-K259-J259</f>
        <v>78411</v>
      </c>
      <c r="M259" s="32" t="s">
        <v>43</v>
      </c>
      <c r="N259" s="39">
        <v>539</v>
      </c>
      <c r="O259" s="11" t="s">
        <v>25</v>
      </c>
      <c r="P259" s="100">
        <v>46098</v>
      </c>
      <c r="Q259" s="1">
        <f>IF(L259=0,0,P259-E259)</f>
        <v>539</v>
      </c>
    </row>
    <row r="260" spans="1:24" s="2" customFormat="1" ht="14.1" customHeight="1" x14ac:dyDescent="0.25">
      <c r="A260" s="131"/>
      <c r="B260" s="164">
        <f t="shared" ca="1" si="35"/>
        <v>46114</v>
      </c>
      <c r="C260" s="164"/>
      <c r="D260" s="131"/>
      <c r="E260" s="131"/>
      <c r="F260" s="131"/>
      <c r="G260" s="131"/>
      <c r="H260" s="72">
        <f>SUM(H259:H259)</f>
        <v>78411</v>
      </c>
      <c r="I260" s="72">
        <f>SUM(I259:I259)</f>
        <v>0</v>
      </c>
      <c r="J260" s="72"/>
      <c r="K260" s="72">
        <f>SUM(K259:K259)</f>
        <v>0</v>
      </c>
      <c r="L260" s="72">
        <f>SUM(L259:L259)</f>
        <v>78411</v>
      </c>
      <c r="M260" s="72">
        <f>COUNTIF(L259:L259,"&gt;0")</f>
        <v>1</v>
      </c>
      <c r="N260" s="111"/>
      <c r="O260" s="179" t="s">
        <v>27</v>
      </c>
    </row>
    <row r="261" spans="1:24" s="2" customFormat="1" ht="14.1" customHeight="1" x14ac:dyDescent="0.25">
      <c r="A261" s="32" t="s">
        <v>222</v>
      </c>
      <c r="B261" s="164">
        <f t="shared" ca="1" si="35"/>
        <v>46114</v>
      </c>
      <c r="C261" s="164"/>
      <c r="D261" s="167">
        <f ca="1">B261-E261</f>
        <v>255</v>
      </c>
      <c r="E261" s="33">
        <v>45859</v>
      </c>
      <c r="F261" s="32" t="s">
        <v>221</v>
      </c>
      <c r="G261" s="32" t="s">
        <v>16</v>
      </c>
      <c r="H261" s="38">
        <v>32200</v>
      </c>
      <c r="I261" s="34"/>
      <c r="J261" s="34"/>
      <c r="K261" s="188"/>
      <c r="L261" s="34">
        <f>+H261+I261-K261-J261</f>
        <v>32200</v>
      </c>
      <c r="M261" s="32" t="s">
        <v>61</v>
      </c>
      <c r="N261" s="111">
        <v>239</v>
      </c>
      <c r="O261" s="179" t="s">
        <v>25</v>
      </c>
      <c r="P261" s="100">
        <v>46098</v>
      </c>
      <c r="Q261" s="1">
        <f>IF(L261=0,0,P261-E261)</f>
        <v>239</v>
      </c>
      <c r="X261" s="2" t="s">
        <v>194</v>
      </c>
    </row>
    <row r="262" spans="1:24" s="65" customFormat="1" ht="14.1" customHeight="1" x14ac:dyDescent="0.25">
      <c r="A262" s="131"/>
      <c r="B262" s="164">
        <f t="shared" ca="1" si="35"/>
        <v>46114</v>
      </c>
      <c r="C262" s="164"/>
      <c r="D262" s="131"/>
      <c r="E262" s="131"/>
      <c r="F262" s="131"/>
      <c r="G262" s="131"/>
      <c r="H262" s="72">
        <f>SUM(H261:H261)</f>
        <v>32200</v>
      </c>
      <c r="I262" s="72">
        <f>SUM(I261:I261)</f>
        <v>0</v>
      </c>
      <c r="J262" s="72"/>
      <c r="K262" s="72">
        <f>SUM(K261:K261)</f>
        <v>0</v>
      </c>
      <c r="L262" s="72">
        <f>SUM(L261:L261)</f>
        <v>32200</v>
      </c>
      <c r="M262" s="72">
        <f>COUNTIF(L261:L261,"&gt;0")</f>
        <v>1</v>
      </c>
      <c r="N262" s="111"/>
      <c r="O262" s="179"/>
    </row>
    <row r="263" spans="1:24" s="144" customFormat="1" ht="14.1" customHeight="1" x14ac:dyDescent="0.25">
      <c r="A263" s="39" t="s">
        <v>49</v>
      </c>
      <c r="B263" s="164">
        <f t="shared" ca="1" si="35"/>
        <v>46114</v>
      </c>
      <c r="C263" s="164"/>
      <c r="D263" s="167">
        <f ca="1">B263-E263</f>
        <v>197</v>
      </c>
      <c r="E263" s="33">
        <v>45917</v>
      </c>
      <c r="F263" s="39" t="s">
        <v>338</v>
      </c>
      <c r="G263" s="39" t="s">
        <v>339</v>
      </c>
      <c r="H263" s="34">
        <v>3068</v>
      </c>
      <c r="I263" s="34"/>
      <c r="J263" s="34"/>
      <c r="K263" s="34"/>
      <c r="L263" s="34">
        <f>+H263+I263-K263-J263</f>
        <v>3068</v>
      </c>
      <c r="M263" s="114" t="s">
        <v>120</v>
      </c>
      <c r="N263" s="39">
        <v>181</v>
      </c>
      <c r="O263" s="115" t="s">
        <v>26</v>
      </c>
      <c r="P263" s="200">
        <v>46098</v>
      </c>
      <c r="Q263" s="66">
        <f>IF(L263=0,0,P263-E263)</f>
        <v>181</v>
      </c>
    </row>
    <row r="264" spans="1:24" s="144" customFormat="1" ht="14.1" customHeight="1" x14ac:dyDescent="0.25">
      <c r="A264" s="39" t="s">
        <v>49</v>
      </c>
      <c r="B264" s="164">
        <f t="shared" ca="1" si="35"/>
        <v>46114</v>
      </c>
      <c r="C264" s="164"/>
      <c r="D264" s="167">
        <f ca="1">B264-E264</f>
        <v>197</v>
      </c>
      <c r="E264" s="33">
        <v>45917</v>
      </c>
      <c r="F264" s="39" t="s">
        <v>338</v>
      </c>
      <c r="G264" s="39" t="s">
        <v>16</v>
      </c>
      <c r="H264" s="34">
        <v>12508</v>
      </c>
      <c r="I264" s="34"/>
      <c r="J264" s="34"/>
      <c r="K264" s="34"/>
      <c r="L264" s="34">
        <f>+H264+I264-K264-J264</f>
        <v>12508</v>
      </c>
      <c r="M264" s="114" t="s">
        <v>120</v>
      </c>
      <c r="N264" s="39">
        <v>181</v>
      </c>
      <c r="O264" s="115" t="s">
        <v>25</v>
      </c>
      <c r="P264" s="200">
        <v>46098</v>
      </c>
      <c r="Q264" s="66">
        <f>IF(L264=0,0,P264-E264)</f>
        <v>181</v>
      </c>
    </row>
    <row r="265" spans="1:24" s="144" customFormat="1" ht="14.1" customHeight="1" x14ac:dyDescent="0.25">
      <c r="A265" s="112" t="s">
        <v>49</v>
      </c>
      <c r="B265" s="171">
        <f t="shared" ca="1" si="35"/>
        <v>46114</v>
      </c>
      <c r="C265" s="171"/>
      <c r="D265" s="196">
        <f ca="1">B265-E265</f>
        <v>402</v>
      </c>
      <c r="E265" s="40">
        <v>45712</v>
      </c>
      <c r="F265" s="112" t="s">
        <v>59</v>
      </c>
      <c r="G265" s="112" t="s">
        <v>204</v>
      </c>
      <c r="H265" s="197">
        <v>14160</v>
      </c>
      <c r="I265" s="197"/>
      <c r="J265" s="197"/>
      <c r="K265" s="197"/>
      <c r="L265" s="197">
        <f>+H265+I265-K265-J265</f>
        <v>14160</v>
      </c>
      <c r="M265" s="198" t="s">
        <v>120</v>
      </c>
      <c r="N265" s="112">
        <v>386</v>
      </c>
      <c r="O265" s="199" t="s">
        <v>24</v>
      </c>
      <c r="P265" s="200">
        <v>46098</v>
      </c>
      <c r="Q265" s="66">
        <f>IF(L265=0,0,P265-E265)</f>
        <v>386</v>
      </c>
    </row>
    <row r="266" spans="1:24" s="65" customFormat="1" ht="14.1" customHeight="1" x14ac:dyDescent="0.25">
      <c r="A266" s="131"/>
      <c r="B266" s="164">
        <f t="shared" ca="1" si="35"/>
        <v>46114</v>
      </c>
      <c r="C266" s="164"/>
      <c r="D266" s="131"/>
      <c r="E266" s="131"/>
      <c r="F266" s="131"/>
      <c r="G266" s="131"/>
      <c r="H266" s="72">
        <f>+SUM(H263:H265)</f>
        <v>29736</v>
      </c>
      <c r="I266" s="72">
        <f>+SUM(I263:I265)</f>
        <v>0</v>
      </c>
      <c r="J266" s="72">
        <f>+SUM(J263:J265)</f>
        <v>0</v>
      </c>
      <c r="K266" s="72">
        <f>+SUM(K263:K265)</f>
        <v>0</v>
      </c>
      <c r="L266" s="72">
        <f>+SUM(L263:L265)</f>
        <v>29736</v>
      </c>
      <c r="M266" s="72">
        <f>COUNTIF(L263:L265,"&gt;0")</f>
        <v>3</v>
      </c>
      <c r="N266" s="111"/>
      <c r="O266" s="179"/>
    </row>
    <row r="267" spans="1:24" s="2" customFormat="1" ht="14.1" customHeight="1" x14ac:dyDescent="0.25">
      <c r="A267" s="32" t="s">
        <v>334</v>
      </c>
      <c r="B267" s="164">
        <f t="shared" ca="1" si="35"/>
        <v>46114</v>
      </c>
      <c r="C267" s="164"/>
      <c r="D267" s="167">
        <f ca="1">B267-E267</f>
        <v>211</v>
      </c>
      <c r="E267" s="33">
        <v>45903</v>
      </c>
      <c r="F267" s="32" t="s">
        <v>336</v>
      </c>
      <c r="G267" s="32" t="s">
        <v>335</v>
      </c>
      <c r="H267" s="38">
        <v>8850</v>
      </c>
      <c r="I267" s="142"/>
      <c r="J267" s="142"/>
      <c r="K267" s="34"/>
      <c r="L267" s="34">
        <f>+H267+I267-K267-J267</f>
        <v>8850</v>
      </c>
      <c r="M267" s="32" t="s">
        <v>301</v>
      </c>
      <c r="N267" s="39">
        <v>195</v>
      </c>
      <c r="O267" s="58" t="s">
        <v>26</v>
      </c>
      <c r="P267" s="100">
        <v>46098</v>
      </c>
      <c r="Q267" s="1">
        <f>IF(L267=0,0,P267-E267)</f>
        <v>195</v>
      </c>
    </row>
    <row r="268" spans="1:24" s="2" customFormat="1" ht="14.1" customHeight="1" x14ac:dyDescent="0.25">
      <c r="A268" s="131"/>
      <c r="B268" s="164">
        <f t="shared" ca="1" si="35"/>
        <v>46114</v>
      </c>
      <c r="C268" s="164"/>
      <c r="D268" s="131"/>
      <c r="E268" s="131"/>
      <c r="F268" s="131"/>
      <c r="G268" s="131"/>
      <c r="H268" s="72">
        <f>+SUM(H267:H267)</f>
        <v>8850</v>
      </c>
      <c r="I268" s="72">
        <f>+SUM(I267:I267)</f>
        <v>0</v>
      </c>
      <c r="J268" s="72">
        <f>+SUM(J267:J267)</f>
        <v>0</v>
      </c>
      <c r="K268" s="72">
        <f>+SUM(K267:K267)</f>
        <v>0</v>
      </c>
      <c r="L268" s="72">
        <f>+SUM(L267:L267)</f>
        <v>8850</v>
      </c>
      <c r="M268" s="72">
        <f>COUNTIF(L267:L267,"&gt;0")</f>
        <v>1</v>
      </c>
      <c r="N268" s="111"/>
      <c r="O268" s="179"/>
    </row>
    <row r="269" spans="1:24" s="2" customFormat="1" ht="14.1" customHeight="1" x14ac:dyDescent="0.25">
      <c r="A269" s="39" t="s">
        <v>453</v>
      </c>
      <c r="B269" s="164">
        <f t="shared" ca="1" si="35"/>
        <v>46114</v>
      </c>
      <c r="C269" s="164"/>
      <c r="D269" s="167">
        <f ca="1">B269-E269</f>
        <v>162</v>
      </c>
      <c r="E269" s="33">
        <v>45952</v>
      </c>
      <c r="F269" s="32" t="s">
        <v>454</v>
      </c>
      <c r="G269" s="32" t="s">
        <v>34</v>
      </c>
      <c r="H269" s="34">
        <v>9558</v>
      </c>
      <c r="I269" s="34"/>
      <c r="J269" s="34"/>
      <c r="K269" s="34"/>
      <c r="L269" s="34">
        <f>+H269+I269-K269-J269</f>
        <v>9558</v>
      </c>
      <c r="M269" s="32" t="s">
        <v>443</v>
      </c>
      <c r="N269" s="143">
        <v>146</v>
      </c>
      <c r="O269" s="179" t="s">
        <v>26</v>
      </c>
      <c r="P269" s="100">
        <v>46098</v>
      </c>
      <c r="Q269" s="1">
        <f>IF(L269=0,0,P269-E269)</f>
        <v>146</v>
      </c>
    </row>
    <row r="270" spans="1:24" s="2" customFormat="1" ht="13.5" customHeight="1" x14ac:dyDescent="0.25">
      <c r="A270" s="39" t="s">
        <v>490</v>
      </c>
      <c r="B270" s="164">
        <f t="shared" ca="1" si="35"/>
        <v>46114</v>
      </c>
      <c r="C270" s="164"/>
      <c r="D270" s="167">
        <f ca="1">B270-E270</f>
        <v>128</v>
      </c>
      <c r="E270" s="33">
        <v>45986</v>
      </c>
      <c r="F270" s="32" t="s">
        <v>489</v>
      </c>
      <c r="G270" s="32" t="s">
        <v>34</v>
      </c>
      <c r="H270" s="34">
        <v>5310</v>
      </c>
      <c r="I270" s="34"/>
      <c r="J270" s="34"/>
      <c r="K270" s="34"/>
      <c r="L270" s="34">
        <f>+H270+I270-K270-J270</f>
        <v>5310</v>
      </c>
      <c r="M270" s="32" t="s">
        <v>443</v>
      </c>
      <c r="N270" s="143">
        <v>112</v>
      </c>
      <c r="O270" s="179" t="s">
        <v>26</v>
      </c>
      <c r="P270" s="100">
        <v>46098</v>
      </c>
      <c r="Q270" s="1">
        <f>IF(L270=0,0,P270-E270)</f>
        <v>112</v>
      </c>
    </row>
    <row r="271" spans="1:24" s="2" customFormat="1" ht="14.1" customHeight="1" x14ac:dyDescent="0.25">
      <c r="A271" s="39" t="s">
        <v>492</v>
      </c>
      <c r="B271" s="164">
        <f t="shared" ca="1" si="35"/>
        <v>46114</v>
      </c>
      <c r="C271" s="164"/>
      <c r="D271" s="167">
        <f ca="1">B271-E271</f>
        <v>128</v>
      </c>
      <c r="E271" s="33">
        <v>45986</v>
      </c>
      <c r="F271" s="32" t="s">
        <v>491</v>
      </c>
      <c r="G271" s="32" t="s">
        <v>34</v>
      </c>
      <c r="H271" s="34">
        <v>5310</v>
      </c>
      <c r="I271" s="34"/>
      <c r="J271" s="34"/>
      <c r="K271" s="34"/>
      <c r="L271" s="34">
        <f>+H271+I271-K271-J271</f>
        <v>5310</v>
      </c>
      <c r="M271" s="32" t="s">
        <v>443</v>
      </c>
      <c r="N271" s="143">
        <v>112</v>
      </c>
      <c r="O271" s="179" t="s">
        <v>26</v>
      </c>
      <c r="P271" s="100">
        <v>46098</v>
      </c>
      <c r="Q271" s="1">
        <f>IF(L271=0,0,P271-E271)</f>
        <v>112</v>
      </c>
    </row>
    <row r="272" spans="1:24" s="2" customFormat="1" ht="14.1" customHeight="1" x14ac:dyDescent="0.25">
      <c r="A272" s="39" t="s">
        <v>555</v>
      </c>
      <c r="B272" s="164">
        <f t="shared" ca="1" si="35"/>
        <v>46114</v>
      </c>
      <c r="C272" s="164"/>
      <c r="D272" s="167">
        <f ca="1">B272-E272</f>
        <v>101</v>
      </c>
      <c r="E272" s="33">
        <v>46013</v>
      </c>
      <c r="F272" s="32" t="s">
        <v>554</v>
      </c>
      <c r="G272" s="32" t="s">
        <v>34</v>
      </c>
      <c r="H272" s="34">
        <v>5310</v>
      </c>
      <c r="I272" s="34"/>
      <c r="J272" s="34"/>
      <c r="K272" s="34"/>
      <c r="L272" s="34">
        <f>+H272+I272-K272-J272</f>
        <v>5310</v>
      </c>
      <c r="M272" s="32" t="s">
        <v>443</v>
      </c>
      <c r="N272" s="143">
        <v>85</v>
      </c>
      <c r="O272" s="179" t="s">
        <v>26</v>
      </c>
      <c r="P272" s="100">
        <v>46098</v>
      </c>
      <c r="Q272" s="1">
        <f>IF(L272=0,0,P272-E272)</f>
        <v>85</v>
      </c>
    </row>
    <row r="273" spans="1:17" s="2" customFormat="1" ht="14.1" customHeight="1" x14ac:dyDescent="0.25">
      <c r="A273" s="131"/>
      <c r="B273" s="164"/>
      <c r="C273" s="164"/>
      <c r="D273" s="131"/>
      <c r="E273" s="131"/>
      <c r="F273" s="32"/>
      <c r="G273" s="131"/>
      <c r="H273" s="72">
        <f>SUM(H269:H272)</f>
        <v>25488</v>
      </c>
      <c r="I273" s="72">
        <f>SUM(I269:I271)</f>
        <v>0</v>
      </c>
      <c r="J273" s="72">
        <f>SUM(J269:J271)</f>
        <v>0</v>
      </c>
      <c r="K273" s="72">
        <f>SUM(K269:K271)</f>
        <v>0</v>
      </c>
      <c r="L273" s="72">
        <f>SUM(L269:L272)</f>
        <v>25488</v>
      </c>
      <c r="M273" s="72">
        <f>COUNTIF(L269:L272,"&gt;0")</f>
        <v>4</v>
      </c>
      <c r="N273" s="111"/>
      <c r="O273" s="179"/>
    </row>
    <row r="274" spans="1:17" s="2" customFormat="1" ht="14.1" customHeight="1" x14ac:dyDescent="0.25">
      <c r="A274" s="131"/>
      <c r="B274" s="164"/>
      <c r="C274" s="164"/>
      <c r="D274" s="131"/>
      <c r="E274" s="131"/>
      <c r="F274" s="131"/>
      <c r="G274" s="131"/>
      <c r="H274" s="72"/>
      <c r="I274" s="72"/>
      <c r="J274" s="72"/>
      <c r="K274" s="72"/>
      <c r="L274" s="72"/>
      <c r="M274" s="110"/>
      <c r="N274" s="111">
        <v>0</v>
      </c>
      <c r="O274" s="179"/>
      <c r="P274" s="100">
        <v>46098</v>
      </c>
      <c r="Q274" s="1">
        <f>IF(L274=0,0,P274-E274)</f>
        <v>0</v>
      </c>
    </row>
    <row r="275" spans="1:17" ht="14.1" customHeight="1" x14ac:dyDescent="0.25">
      <c r="A275" s="131" t="s">
        <v>47</v>
      </c>
      <c r="B275" s="164"/>
      <c r="C275" s="164"/>
      <c r="D275" s="131"/>
      <c r="E275" s="131"/>
      <c r="F275" s="131"/>
      <c r="G275" s="131"/>
      <c r="H275" s="72">
        <f>+H196+H199+H238+H247+H249+H256+H258+H260+H262+H273+H268+H266</f>
        <v>1290124</v>
      </c>
      <c r="I275" s="72">
        <f>+I196+I199+I238+I247+I249+I256+I258+I260+I262+I273+I268+I266</f>
        <v>374874</v>
      </c>
      <c r="J275" s="72">
        <f>+J196+J199+J238+J247+J249+J256+J258+J260+J262+J273+J268+J266</f>
        <v>67703</v>
      </c>
      <c r="K275" s="72">
        <f>+K196+K199+K238+K247+K249+K256+K258+K260+K262+K273+K268+K266</f>
        <v>229392</v>
      </c>
      <c r="L275" s="72">
        <f>+L196+L199+L238+L247+L249+L256+L258+L260+L262+L273+L268+L266</f>
        <v>1367903</v>
      </c>
      <c r="M275" s="110">
        <f>M274+M262+M260+M258+M256+M249+M247+M238+M199+M196+M266+M273+M268</f>
        <v>47</v>
      </c>
      <c r="N275" s="39"/>
      <c r="O275" s="11"/>
    </row>
    <row r="276" spans="1:17" s="9" customFormat="1" ht="36" customHeight="1" x14ac:dyDescent="0.25">
      <c r="A276" s="41" t="s">
        <v>107</v>
      </c>
      <c r="B276" s="165"/>
      <c r="C276" s="165"/>
      <c r="D276" s="41"/>
      <c r="E276" s="42"/>
      <c r="F276" s="43">
        <v>45713</v>
      </c>
      <c r="G276" s="44"/>
      <c r="H276" s="189" t="s">
        <v>767</v>
      </c>
      <c r="I276" s="190" t="s">
        <v>31</v>
      </c>
      <c r="J276" s="190"/>
      <c r="K276" s="189" t="s">
        <v>32</v>
      </c>
      <c r="L276" s="189" t="s">
        <v>812</v>
      </c>
      <c r="M276" s="42"/>
      <c r="N276" s="191"/>
      <c r="O276" s="192"/>
      <c r="P276" s="3"/>
      <c r="Q276" s="85"/>
    </row>
    <row r="277" spans="1:17" s="9" customFormat="1" ht="14.1" customHeight="1" x14ac:dyDescent="0.25">
      <c r="A277" s="42" t="s">
        <v>48</v>
      </c>
      <c r="B277" s="165">
        <f t="shared" ca="1" si="35"/>
        <v>46114</v>
      </c>
      <c r="C277" s="165"/>
      <c r="D277" s="168">
        <f t="shared" ref="D277:D286" ca="1" si="36">B277-E277</f>
        <v>915</v>
      </c>
      <c r="E277" s="45">
        <v>45199</v>
      </c>
      <c r="F277" s="41" t="s">
        <v>50</v>
      </c>
      <c r="G277" s="42"/>
      <c r="H277" s="46">
        <v>80000</v>
      </c>
      <c r="I277" s="46"/>
      <c r="J277" s="46"/>
      <c r="K277" s="42"/>
      <c r="L277" s="47">
        <f t="shared" ref="L277:L286" si="37">+H277+I277-K277-J277</f>
        <v>80000</v>
      </c>
      <c r="M277" s="41" t="s">
        <v>8</v>
      </c>
      <c r="N277" s="191">
        <v>899</v>
      </c>
      <c r="O277" s="192"/>
      <c r="P277" s="150">
        <v>46098</v>
      </c>
      <c r="Q277" s="151">
        <f t="shared" ref="Q277:Q285" si="38">IF(L277=0,0,P277-E277)</f>
        <v>899</v>
      </c>
    </row>
    <row r="278" spans="1:17" s="9" customFormat="1" ht="14.1" customHeight="1" x14ac:dyDescent="0.25">
      <c r="A278" s="42" t="s">
        <v>35</v>
      </c>
      <c r="B278" s="165">
        <f t="shared" ca="1" si="35"/>
        <v>46114</v>
      </c>
      <c r="C278" s="165"/>
      <c r="D278" s="168">
        <f t="shared" ca="1" si="36"/>
        <v>646</v>
      </c>
      <c r="E278" s="45">
        <v>45468</v>
      </c>
      <c r="F278" s="41" t="s">
        <v>51</v>
      </c>
      <c r="G278" s="41" t="s">
        <v>16</v>
      </c>
      <c r="H278" s="46">
        <v>400000</v>
      </c>
      <c r="I278" s="46"/>
      <c r="J278" s="46"/>
      <c r="K278" s="42"/>
      <c r="L278" s="47">
        <f t="shared" si="37"/>
        <v>400000</v>
      </c>
      <c r="M278" s="41" t="s">
        <v>8</v>
      </c>
      <c r="N278" s="191">
        <v>630</v>
      </c>
      <c r="O278" s="192"/>
      <c r="P278" s="100">
        <v>46098</v>
      </c>
      <c r="Q278" s="1">
        <f t="shared" si="38"/>
        <v>630</v>
      </c>
    </row>
    <row r="279" spans="1:17" s="9" customFormat="1" ht="14.1" customHeight="1" x14ac:dyDescent="0.25">
      <c r="A279" s="42" t="s">
        <v>37</v>
      </c>
      <c r="B279" s="165">
        <f t="shared" ca="1" si="35"/>
        <v>46114</v>
      </c>
      <c r="C279" s="165"/>
      <c r="D279" s="168">
        <f t="shared" ca="1" si="36"/>
        <v>500</v>
      </c>
      <c r="E279" s="45">
        <v>45614</v>
      </c>
      <c r="F279" s="41" t="s">
        <v>52</v>
      </c>
      <c r="G279" s="42" t="s">
        <v>210</v>
      </c>
      <c r="H279" s="46">
        <v>109150</v>
      </c>
      <c r="I279" s="46"/>
      <c r="J279" s="46"/>
      <c r="K279" s="42"/>
      <c r="L279" s="47">
        <f t="shared" si="37"/>
        <v>109150</v>
      </c>
      <c r="M279" s="41" t="s">
        <v>55</v>
      </c>
      <c r="N279" s="191">
        <v>484</v>
      </c>
      <c r="O279" s="192"/>
      <c r="P279" s="100">
        <v>46098</v>
      </c>
      <c r="Q279" s="1">
        <f t="shared" si="38"/>
        <v>484</v>
      </c>
    </row>
    <row r="280" spans="1:17" s="9" customFormat="1" ht="14.1" customHeight="1" x14ac:dyDescent="0.25">
      <c r="A280" s="42" t="s">
        <v>37</v>
      </c>
      <c r="B280" s="165">
        <f t="shared" ca="1" si="35"/>
        <v>46114</v>
      </c>
      <c r="C280" s="165"/>
      <c r="D280" s="168">
        <f t="shared" ca="1" si="36"/>
        <v>500</v>
      </c>
      <c r="E280" s="45">
        <v>45614</v>
      </c>
      <c r="F280" s="41" t="s">
        <v>53</v>
      </c>
      <c r="G280" s="42" t="s">
        <v>209</v>
      </c>
      <c r="H280" s="46">
        <v>82600</v>
      </c>
      <c r="I280" s="46"/>
      <c r="J280" s="46"/>
      <c r="K280" s="42"/>
      <c r="L280" s="47">
        <f t="shared" si="37"/>
        <v>82600</v>
      </c>
      <c r="M280" s="41" t="s">
        <v>56</v>
      </c>
      <c r="N280" s="191">
        <v>484</v>
      </c>
      <c r="O280" s="192"/>
      <c r="P280" s="100">
        <v>46098</v>
      </c>
      <c r="Q280" s="1">
        <f t="shared" si="38"/>
        <v>484</v>
      </c>
    </row>
    <row r="281" spans="1:17" s="9" customFormat="1" ht="14.1" customHeight="1" x14ac:dyDescent="0.25">
      <c r="A281" s="42" t="s">
        <v>37</v>
      </c>
      <c r="B281" s="165">
        <f t="shared" ca="1" si="35"/>
        <v>46114</v>
      </c>
      <c r="C281" s="165"/>
      <c r="D281" s="168">
        <f t="shared" ca="1" si="36"/>
        <v>500</v>
      </c>
      <c r="E281" s="45">
        <v>45614</v>
      </c>
      <c r="F281" s="41" t="s">
        <v>54</v>
      </c>
      <c r="G281" s="42" t="s">
        <v>211</v>
      </c>
      <c r="H281" s="46">
        <v>24780</v>
      </c>
      <c r="I281" s="46"/>
      <c r="J281" s="46"/>
      <c r="K281" s="42"/>
      <c r="L281" s="47">
        <f t="shared" si="37"/>
        <v>24780</v>
      </c>
      <c r="M281" s="41" t="s">
        <v>55</v>
      </c>
      <c r="N281" s="191">
        <v>484</v>
      </c>
      <c r="O281" s="192"/>
      <c r="P281" s="100">
        <v>46098</v>
      </c>
      <c r="Q281" s="1">
        <f t="shared" si="38"/>
        <v>484</v>
      </c>
    </row>
    <row r="282" spans="1:17" s="9" customFormat="1" ht="14.1" customHeight="1" x14ac:dyDescent="0.25">
      <c r="A282" s="41" t="s">
        <v>30</v>
      </c>
      <c r="B282" s="165">
        <f t="shared" ca="1" si="35"/>
        <v>46114</v>
      </c>
      <c r="C282" s="165"/>
      <c r="D282" s="168">
        <f t="shared" ca="1" si="36"/>
        <v>469</v>
      </c>
      <c r="E282" s="45">
        <v>45645</v>
      </c>
      <c r="F282" s="41" t="s">
        <v>38</v>
      </c>
      <c r="G282" s="42" t="s">
        <v>212</v>
      </c>
      <c r="H282" s="46">
        <v>59000</v>
      </c>
      <c r="I282" s="46"/>
      <c r="J282" s="46"/>
      <c r="K282" s="42"/>
      <c r="L282" s="47">
        <f t="shared" si="37"/>
        <v>59000</v>
      </c>
      <c r="M282" s="41" t="s">
        <v>57</v>
      </c>
      <c r="N282" s="191">
        <v>453</v>
      </c>
      <c r="O282" s="192"/>
      <c r="P282" s="100">
        <v>46098</v>
      </c>
      <c r="Q282" s="1">
        <f t="shared" si="38"/>
        <v>453</v>
      </c>
    </row>
    <row r="283" spans="1:17" s="9" customFormat="1" ht="14.1" customHeight="1" x14ac:dyDescent="0.25">
      <c r="A283" s="41" t="s">
        <v>17</v>
      </c>
      <c r="B283" s="165">
        <f t="shared" ca="1" si="35"/>
        <v>46114</v>
      </c>
      <c r="C283" s="165"/>
      <c r="D283" s="168">
        <f t="shared" ca="1" si="36"/>
        <v>307</v>
      </c>
      <c r="E283" s="45">
        <v>45807</v>
      </c>
      <c r="F283" s="41" t="s">
        <v>128</v>
      </c>
      <c r="G283" s="42" t="s">
        <v>113</v>
      </c>
      <c r="H283" s="46">
        <v>241900</v>
      </c>
      <c r="I283" s="46"/>
      <c r="J283" s="46"/>
      <c r="K283" s="42"/>
      <c r="L283" s="47">
        <f t="shared" si="37"/>
        <v>241900</v>
      </c>
      <c r="M283" s="41" t="s">
        <v>15</v>
      </c>
      <c r="N283" s="191">
        <v>291</v>
      </c>
      <c r="O283" s="192"/>
      <c r="P283" s="100">
        <v>46098</v>
      </c>
      <c r="Q283" s="1">
        <f t="shared" si="38"/>
        <v>291</v>
      </c>
    </row>
    <row r="284" spans="1:17" s="9" customFormat="1" ht="14.1" customHeight="1" x14ac:dyDescent="0.25">
      <c r="A284" s="41" t="s">
        <v>152</v>
      </c>
      <c r="B284" s="165">
        <f t="shared" ca="1" si="35"/>
        <v>46114</v>
      </c>
      <c r="C284" s="165"/>
      <c r="D284" s="168">
        <f t="shared" ca="1" si="36"/>
        <v>295</v>
      </c>
      <c r="E284" s="45">
        <v>45819</v>
      </c>
      <c r="F284" s="41" t="s">
        <v>153</v>
      </c>
      <c r="G284" s="42" t="s">
        <v>131</v>
      </c>
      <c r="H284" s="46">
        <v>7375</v>
      </c>
      <c r="I284" s="46"/>
      <c r="J284" s="46"/>
      <c r="K284" s="42"/>
      <c r="L284" s="47">
        <f t="shared" si="37"/>
        <v>7375</v>
      </c>
      <c r="M284" s="41" t="s">
        <v>57</v>
      </c>
      <c r="N284" s="191">
        <v>279</v>
      </c>
      <c r="O284" s="192"/>
      <c r="P284" s="100">
        <v>46098</v>
      </c>
      <c r="Q284" s="1">
        <f t="shared" si="38"/>
        <v>279</v>
      </c>
    </row>
    <row r="285" spans="1:17" s="9" customFormat="1" ht="14.1" customHeight="1" x14ac:dyDescent="0.25">
      <c r="A285" s="41" t="s">
        <v>152</v>
      </c>
      <c r="B285" s="165">
        <f t="shared" ca="1" si="35"/>
        <v>46114</v>
      </c>
      <c r="C285" s="165"/>
      <c r="D285" s="168">
        <f t="shared" ca="1" si="36"/>
        <v>295</v>
      </c>
      <c r="E285" s="45">
        <v>45819</v>
      </c>
      <c r="F285" s="41" t="s">
        <v>153</v>
      </c>
      <c r="G285" s="42" t="s">
        <v>40</v>
      </c>
      <c r="H285" s="46">
        <v>262699</v>
      </c>
      <c r="I285" s="46"/>
      <c r="J285" s="46"/>
      <c r="K285" s="42"/>
      <c r="L285" s="47">
        <f t="shared" si="37"/>
        <v>262699</v>
      </c>
      <c r="M285" s="41" t="s">
        <v>57</v>
      </c>
      <c r="N285" s="191">
        <v>279</v>
      </c>
      <c r="O285" s="192"/>
      <c r="P285" s="100">
        <v>46098</v>
      </c>
      <c r="Q285" s="1">
        <f t="shared" si="38"/>
        <v>279</v>
      </c>
    </row>
    <row r="286" spans="1:17" s="9" customFormat="1" ht="14.1" customHeight="1" x14ac:dyDescent="0.25">
      <c r="A286" s="41" t="s">
        <v>500</v>
      </c>
      <c r="B286" s="165">
        <f t="shared" ca="1" si="35"/>
        <v>46114</v>
      </c>
      <c r="C286" s="165"/>
      <c r="D286" s="168">
        <f t="shared" ca="1" si="36"/>
        <v>118</v>
      </c>
      <c r="E286" s="45">
        <v>45996</v>
      </c>
      <c r="F286" s="41">
        <v>3</v>
      </c>
      <c r="G286" s="42" t="s">
        <v>501</v>
      </c>
      <c r="H286" s="46"/>
      <c r="I286" s="46">
        <v>421024</v>
      </c>
      <c r="J286" s="46"/>
      <c r="K286" s="42"/>
      <c r="L286" s="47">
        <f t="shared" si="37"/>
        <v>421024</v>
      </c>
      <c r="M286" s="41" t="s">
        <v>57</v>
      </c>
      <c r="N286" s="191">
        <v>102</v>
      </c>
      <c r="O286" s="192"/>
      <c r="P286" s="100"/>
      <c r="Q286" s="1"/>
    </row>
    <row r="287" spans="1:17" s="10" customFormat="1" ht="14.1" customHeight="1" x14ac:dyDescent="0.25">
      <c r="A287" s="48" t="s">
        <v>58</v>
      </c>
      <c r="B287" s="165">
        <f t="shared" ca="1" si="35"/>
        <v>46114</v>
      </c>
      <c r="C287" s="165"/>
      <c r="D287" s="48"/>
      <c r="E287" s="48"/>
      <c r="F287" s="48"/>
      <c r="G287" s="48"/>
      <c r="H287" s="77">
        <f>+SUM(H277:H285)</f>
        <v>1267504</v>
      </c>
      <c r="I287" s="77">
        <f>+SUM(I277:I285)</f>
        <v>0</v>
      </c>
      <c r="J287" s="77">
        <f>+SUM(J277:J285)</f>
        <v>0</v>
      </c>
      <c r="K287" s="77">
        <f>+SUM(K277:K285)</f>
        <v>0</v>
      </c>
      <c r="L287" s="77">
        <f>+SUM(L277:L285)</f>
        <v>1267504</v>
      </c>
      <c r="M287" s="119">
        <f>COUNTIF(L277:L285,"&gt;0")</f>
        <v>9</v>
      </c>
      <c r="N287" s="48"/>
      <c r="O287" s="193"/>
      <c r="P287" s="157"/>
      <c r="Q287" s="157"/>
    </row>
    <row r="288" spans="1:17" ht="14.1" customHeight="1" x14ac:dyDescent="0.25">
      <c r="A288" s="11"/>
      <c r="B288" s="170"/>
      <c r="C288" s="170"/>
      <c r="D288" s="11"/>
      <c r="E288" s="11"/>
      <c r="F288" s="11"/>
      <c r="G288" s="11"/>
      <c r="H288" s="194"/>
      <c r="I288" s="194"/>
      <c r="J288" s="194"/>
      <c r="K288" s="11"/>
      <c r="L288" s="34"/>
      <c r="M288" s="11"/>
      <c r="N288" s="11"/>
      <c r="O288" s="11"/>
    </row>
    <row r="289" spans="1:17" s="90" customFormat="1" ht="14.1" customHeight="1" x14ac:dyDescent="0.25">
      <c r="A289" s="89" t="s">
        <v>231</v>
      </c>
      <c r="B289" s="166"/>
      <c r="C289" s="166"/>
      <c r="D289" s="89"/>
      <c r="E289" s="91"/>
      <c r="F289" s="91"/>
      <c r="G289" s="91"/>
      <c r="H289" s="96"/>
      <c r="I289" s="96"/>
      <c r="J289" s="96"/>
      <c r="K289" s="91"/>
      <c r="L289" s="195"/>
      <c r="M289" s="91"/>
      <c r="N289" s="91"/>
      <c r="O289" s="91"/>
    </row>
    <row r="290" spans="1:17" s="90" customFormat="1" ht="40.5" customHeight="1" x14ac:dyDescent="0.25">
      <c r="A290" s="89" t="s">
        <v>0</v>
      </c>
      <c r="B290" s="166"/>
      <c r="C290" s="166"/>
      <c r="D290" s="89"/>
      <c r="E290" s="91" t="s">
        <v>1</v>
      </c>
      <c r="F290" s="92" t="s">
        <v>2</v>
      </c>
      <c r="G290" s="93" t="s">
        <v>3</v>
      </c>
      <c r="H290" s="94" t="s">
        <v>767</v>
      </c>
      <c r="I290" s="95" t="s">
        <v>31</v>
      </c>
      <c r="J290" s="95" t="s">
        <v>439</v>
      </c>
      <c r="K290" s="94" t="s">
        <v>32</v>
      </c>
      <c r="L290" s="94" t="s">
        <v>812</v>
      </c>
      <c r="M290" s="91"/>
      <c r="N290" s="91"/>
      <c r="O290" s="91"/>
    </row>
    <row r="291" spans="1:17" s="90" customFormat="1" ht="14.1" customHeight="1" x14ac:dyDescent="0.25">
      <c r="A291" s="91" t="s">
        <v>222</v>
      </c>
      <c r="B291" s="166">
        <f t="shared" ca="1" si="35"/>
        <v>46114</v>
      </c>
      <c r="C291" s="166"/>
      <c r="D291" s="169">
        <f ca="1">B291-E291</f>
        <v>243</v>
      </c>
      <c r="E291" s="93">
        <v>45871</v>
      </c>
      <c r="F291" s="91">
        <v>1</v>
      </c>
      <c r="G291" s="91" t="s">
        <v>41</v>
      </c>
      <c r="H291" s="96">
        <v>45312</v>
      </c>
      <c r="I291" s="96"/>
      <c r="J291" s="96"/>
      <c r="K291" s="91"/>
      <c r="L291" s="195">
        <f>+H291+I291-K291-J291</f>
        <v>45312</v>
      </c>
      <c r="M291" s="97" t="s">
        <v>232</v>
      </c>
      <c r="N291" s="91">
        <v>227</v>
      </c>
      <c r="O291" s="91"/>
      <c r="P291" s="100">
        <v>46098</v>
      </c>
      <c r="Q291" s="1">
        <f t="shared" ref="Q291:Q293" si="39">IF(L291=0,0,P291-E291)</f>
        <v>227</v>
      </c>
    </row>
    <row r="292" spans="1:17" s="90" customFormat="1" ht="14.1" customHeight="1" x14ac:dyDescent="0.25">
      <c r="A292" s="91" t="s">
        <v>141</v>
      </c>
      <c r="B292" s="166">
        <f t="shared" ca="1" si="35"/>
        <v>46114</v>
      </c>
      <c r="C292" s="166"/>
      <c r="D292" s="169">
        <f ca="1">B292-E292</f>
        <v>127</v>
      </c>
      <c r="E292" s="93">
        <v>45987</v>
      </c>
      <c r="F292" s="91">
        <v>2</v>
      </c>
      <c r="G292" s="91" t="s">
        <v>16</v>
      </c>
      <c r="H292" s="96">
        <v>15930</v>
      </c>
      <c r="I292" s="96"/>
      <c r="J292" s="96"/>
      <c r="K292" s="91"/>
      <c r="L292" s="195">
        <f>+H292+I292-K292-J292</f>
        <v>15930</v>
      </c>
      <c r="M292" s="97" t="s">
        <v>6</v>
      </c>
      <c r="N292" s="91">
        <v>111</v>
      </c>
      <c r="O292" s="91"/>
      <c r="P292" s="100">
        <v>46098</v>
      </c>
      <c r="Q292" s="1">
        <f t="shared" si="39"/>
        <v>111</v>
      </c>
    </row>
    <row r="293" spans="1:17" s="90" customFormat="1" ht="14.1" customHeight="1" x14ac:dyDescent="0.25">
      <c r="A293" s="91" t="s">
        <v>500</v>
      </c>
      <c r="B293" s="166">
        <f t="shared" ca="1" si="35"/>
        <v>46114</v>
      </c>
      <c r="C293" s="166"/>
      <c r="D293" s="169">
        <f ca="1">B293-E293</f>
        <v>118</v>
      </c>
      <c r="E293" s="93">
        <v>45996</v>
      </c>
      <c r="F293" s="91">
        <v>3</v>
      </c>
      <c r="G293" s="97" t="s">
        <v>501</v>
      </c>
      <c r="H293" s="96">
        <v>421024</v>
      </c>
      <c r="I293" s="96"/>
      <c r="J293" s="96">
        <v>421024</v>
      </c>
      <c r="K293" s="91"/>
      <c r="L293" s="195">
        <f>+H293+I293-K293-J293</f>
        <v>0</v>
      </c>
      <c r="M293" s="97" t="s">
        <v>6</v>
      </c>
      <c r="N293" s="91">
        <v>102</v>
      </c>
      <c r="O293" s="91"/>
      <c r="P293" s="100">
        <v>46098</v>
      </c>
      <c r="Q293" s="1">
        <f t="shared" si="39"/>
        <v>0</v>
      </c>
    </row>
    <row r="294" spans="1:17" s="90" customFormat="1" ht="14.1" customHeight="1" x14ac:dyDescent="0.25">
      <c r="A294" s="98" t="s">
        <v>233</v>
      </c>
      <c r="B294" s="166"/>
      <c r="C294" s="166"/>
      <c r="D294" s="169"/>
      <c r="E294" s="153"/>
      <c r="F294" s="153"/>
      <c r="G294" s="153"/>
      <c r="H294" s="154">
        <f>SUM(H291:H293)</f>
        <v>482266</v>
      </c>
      <c r="I294" s="154">
        <f>SUM(I291:I293)</f>
        <v>0</v>
      </c>
      <c r="J294" s="154">
        <f>SUM(J291:J293)</f>
        <v>421024</v>
      </c>
      <c r="K294" s="154">
        <f>SUM(K291:K293)</f>
        <v>0</v>
      </c>
      <c r="L294" s="154">
        <f>SUM(L291:L293)</f>
        <v>61242</v>
      </c>
      <c r="M294" s="91"/>
      <c r="N294" s="91"/>
      <c r="O294" s="91"/>
      <c r="P294" s="100"/>
      <c r="Q294" s="1"/>
    </row>
  </sheetData>
  <autoFilter ref="A1:X287">
    <sortState ref="A8:X293">
      <sortCondition ref="A7:A361"/>
    </sortState>
  </autoFilter>
  <sortState ref="A8:N188">
    <sortCondition ref="M8:M188"/>
  </sortState>
  <pageMargins left="0.15748031496062992" right="0.19685039370078741" top="0.21" bottom="0.15748031496062992" header="0.19685039370078741" footer="0.15748031496062992"/>
  <pageSetup paperSize="9" scale="57" fitToHeight="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pageSetUpPr fitToPage="1"/>
  </sheetPr>
  <dimension ref="A1:P151"/>
  <sheetViews>
    <sheetView topLeftCell="B1" workbookViewId="0">
      <selection activeCell="F13" sqref="F13"/>
    </sheetView>
  </sheetViews>
  <sheetFormatPr defaultRowHeight="15" x14ac:dyDescent="0.25"/>
  <cols>
    <col min="1" max="1" width="75.42578125" bestFit="1" customWidth="1"/>
    <col min="2" max="2" width="10.140625" customWidth="1"/>
    <col min="3" max="3" width="13.42578125" customWidth="1"/>
    <col min="4" max="4" width="42.7109375" bestFit="1" customWidth="1"/>
    <col min="5" max="5" width="14.7109375" bestFit="1" customWidth="1"/>
    <col min="6" max="7" width="12.85546875" bestFit="1" customWidth="1"/>
    <col min="8" max="8" width="14.140625" bestFit="1" customWidth="1"/>
    <col min="9" max="9" width="18.28515625" bestFit="1" customWidth="1"/>
    <col min="10" max="10" width="37" bestFit="1" customWidth="1"/>
    <col min="11" max="11" width="9.7109375" bestFit="1" customWidth="1"/>
    <col min="13" max="13" width="11.5703125" bestFit="1" customWidth="1"/>
    <col min="14" max="14" width="11.5703125" customWidth="1"/>
    <col min="15" max="15" width="10.5703125" bestFit="1" customWidth="1"/>
    <col min="16" max="16" width="9.5703125" bestFit="1" customWidth="1"/>
  </cols>
  <sheetData>
    <row r="1" spans="1:16" ht="45" x14ac:dyDescent="0.25">
      <c r="A1" s="49" t="s">
        <v>0</v>
      </c>
      <c r="B1" s="50" t="s">
        <v>1</v>
      </c>
      <c r="C1" s="51" t="s">
        <v>2</v>
      </c>
      <c r="D1" s="52" t="s">
        <v>3</v>
      </c>
      <c r="E1" s="49" t="s">
        <v>626</v>
      </c>
      <c r="F1" s="53" t="s">
        <v>31</v>
      </c>
      <c r="G1" s="53" t="s">
        <v>439</v>
      </c>
      <c r="H1" s="49" t="s">
        <v>32</v>
      </c>
      <c r="I1" s="49" t="s">
        <v>627</v>
      </c>
      <c r="J1" s="49" t="s">
        <v>461</v>
      </c>
      <c r="K1" s="49" t="s">
        <v>462</v>
      </c>
      <c r="L1" s="78"/>
      <c r="M1" s="49" t="s">
        <v>539</v>
      </c>
      <c r="N1" s="49" t="s">
        <v>540</v>
      </c>
      <c r="O1" s="49" t="s">
        <v>541</v>
      </c>
      <c r="P1" s="148" t="s">
        <v>542</v>
      </c>
    </row>
    <row r="2" spans="1:16" x14ac:dyDescent="0.25">
      <c r="A2" s="17" t="s">
        <v>127</v>
      </c>
      <c r="B2" s="88">
        <v>45939</v>
      </c>
      <c r="C2" s="17" t="s">
        <v>423</v>
      </c>
      <c r="D2" s="23" t="s">
        <v>16</v>
      </c>
      <c r="E2" s="99">
        <v>34250</v>
      </c>
      <c r="F2" s="99"/>
      <c r="G2" s="99"/>
      <c r="H2" s="99"/>
      <c r="I2" s="67">
        <f t="shared" ref="I2:I65" si="0">+E2+F2-H2-G2</f>
        <v>34250</v>
      </c>
      <c r="J2" s="17" t="s">
        <v>28</v>
      </c>
      <c r="K2" s="106">
        <v>99</v>
      </c>
      <c r="L2" s="80" t="s">
        <v>24</v>
      </c>
      <c r="M2" s="11">
        <f>ROUND(I2*18/118,2)</f>
        <v>5224.58</v>
      </c>
      <c r="N2" s="11">
        <v>0</v>
      </c>
      <c r="O2" s="11">
        <f>+N2*18%</f>
        <v>0</v>
      </c>
      <c r="P2" s="146">
        <f t="shared" ref="P2" si="1">+M2-O2</f>
        <v>5224.58</v>
      </c>
    </row>
    <row r="3" spans="1:16" x14ac:dyDescent="0.25">
      <c r="A3" s="17" t="s">
        <v>98</v>
      </c>
      <c r="B3" s="88">
        <v>46003</v>
      </c>
      <c r="C3" s="17" t="s">
        <v>512</v>
      </c>
      <c r="D3" s="23" t="s">
        <v>41</v>
      </c>
      <c r="E3" s="99">
        <v>24418</v>
      </c>
      <c r="F3" s="99"/>
      <c r="G3" s="99"/>
      <c r="H3" s="99"/>
      <c r="I3" s="67">
        <f t="shared" si="0"/>
        <v>24418</v>
      </c>
      <c r="J3" s="17" t="s">
        <v>28</v>
      </c>
      <c r="K3" s="107">
        <v>35</v>
      </c>
      <c r="L3" s="80" t="s">
        <v>24</v>
      </c>
      <c r="M3" s="11">
        <f t="shared" ref="M3:M66" si="2">ROUND(I3*18/118,2)</f>
        <v>3724.78</v>
      </c>
      <c r="N3" s="146"/>
      <c r="O3" s="11">
        <f t="shared" ref="O3:O66" si="3">+N3*18%</f>
        <v>0</v>
      </c>
      <c r="P3" s="146">
        <f>+M3-O3</f>
        <v>3724.78</v>
      </c>
    </row>
    <row r="4" spans="1:16" x14ac:dyDescent="0.25">
      <c r="A4" s="17" t="s">
        <v>98</v>
      </c>
      <c r="B4" s="88">
        <v>46003</v>
      </c>
      <c r="C4" s="17" t="s">
        <v>513</v>
      </c>
      <c r="D4" s="23" t="s">
        <v>16</v>
      </c>
      <c r="E4" s="99">
        <v>6372</v>
      </c>
      <c r="F4" s="99"/>
      <c r="G4" s="99"/>
      <c r="H4" s="99"/>
      <c r="I4" s="67">
        <f t="shared" si="0"/>
        <v>6372</v>
      </c>
      <c r="J4" s="17" t="s">
        <v>28</v>
      </c>
      <c r="K4" s="107">
        <v>35</v>
      </c>
      <c r="L4" s="80" t="s">
        <v>25</v>
      </c>
      <c r="M4" s="11">
        <f t="shared" si="2"/>
        <v>972</v>
      </c>
      <c r="N4" s="11">
        <v>0</v>
      </c>
      <c r="O4" s="11">
        <f t="shared" si="3"/>
        <v>0</v>
      </c>
      <c r="P4" s="146">
        <f t="shared" ref="P4:P67" si="4">+M4-O4</f>
        <v>972</v>
      </c>
    </row>
    <row r="5" spans="1:16" x14ac:dyDescent="0.25">
      <c r="A5" s="17" t="s">
        <v>514</v>
      </c>
      <c r="B5" s="88">
        <v>46006</v>
      </c>
      <c r="C5" s="17" t="s">
        <v>515</v>
      </c>
      <c r="D5" s="23" t="s">
        <v>7</v>
      </c>
      <c r="E5" s="99">
        <v>21701</v>
      </c>
      <c r="F5" s="99"/>
      <c r="G5" s="99"/>
      <c r="H5" s="99"/>
      <c r="I5" s="67">
        <f t="shared" si="0"/>
        <v>21701</v>
      </c>
      <c r="J5" s="17" t="s">
        <v>28</v>
      </c>
      <c r="K5" s="107">
        <v>32</v>
      </c>
      <c r="L5" s="80" t="s">
        <v>24</v>
      </c>
      <c r="M5" s="11">
        <f t="shared" si="2"/>
        <v>3310.32</v>
      </c>
      <c r="N5" s="11">
        <v>15201.61</v>
      </c>
      <c r="O5" s="11">
        <f t="shared" si="3"/>
        <v>2736.2898</v>
      </c>
      <c r="P5" s="146">
        <f t="shared" si="4"/>
        <v>574.03020000000015</v>
      </c>
    </row>
    <row r="6" spans="1:16" hidden="1" x14ac:dyDescent="0.25">
      <c r="A6" s="17" t="s">
        <v>516</v>
      </c>
      <c r="B6" s="88">
        <v>46036</v>
      </c>
      <c r="C6" s="17" t="s">
        <v>583</v>
      </c>
      <c r="D6" s="23" t="s">
        <v>7</v>
      </c>
      <c r="E6" s="99">
        <v>68956</v>
      </c>
      <c r="F6" s="99"/>
      <c r="G6" s="99"/>
      <c r="H6" s="99"/>
      <c r="I6" s="67">
        <f t="shared" si="0"/>
        <v>68956</v>
      </c>
      <c r="J6" s="17" t="s">
        <v>28</v>
      </c>
      <c r="K6" s="107">
        <v>2</v>
      </c>
      <c r="L6" s="80" t="s">
        <v>25</v>
      </c>
      <c r="M6" s="11">
        <f t="shared" si="2"/>
        <v>10518.71</v>
      </c>
      <c r="N6" s="11"/>
      <c r="O6" s="11">
        <f t="shared" si="3"/>
        <v>0</v>
      </c>
      <c r="P6" s="146">
        <f t="shared" si="4"/>
        <v>10518.71</v>
      </c>
    </row>
    <row r="7" spans="1:16" x14ac:dyDescent="0.25">
      <c r="A7" s="22" t="s">
        <v>17</v>
      </c>
      <c r="B7" s="86">
        <v>45866</v>
      </c>
      <c r="C7" s="22" t="s">
        <v>224</v>
      </c>
      <c r="D7" s="23" t="s">
        <v>18</v>
      </c>
      <c r="E7" s="99">
        <v>3320</v>
      </c>
      <c r="F7" s="99"/>
      <c r="G7" s="99"/>
      <c r="H7" s="67"/>
      <c r="I7" s="67">
        <f t="shared" si="0"/>
        <v>3320</v>
      </c>
      <c r="J7" s="17" t="s">
        <v>8</v>
      </c>
      <c r="K7" s="106">
        <v>172</v>
      </c>
      <c r="L7" s="80" t="s">
        <v>26</v>
      </c>
      <c r="M7" s="11">
        <f t="shared" si="2"/>
        <v>506.44</v>
      </c>
      <c r="N7" s="11">
        <v>0</v>
      </c>
      <c r="O7" s="11">
        <f t="shared" si="3"/>
        <v>0</v>
      </c>
      <c r="P7" s="146">
        <f t="shared" si="4"/>
        <v>506.44</v>
      </c>
    </row>
    <row r="8" spans="1:16" hidden="1" x14ac:dyDescent="0.25">
      <c r="A8" s="22" t="s">
        <v>119</v>
      </c>
      <c r="B8" s="86">
        <v>45880</v>
      </c>
      <c r="C8" s="22" t="s">
        <v>238</v>
      </c>
      <c r="D8" s="23" t="s">
        <v>7</v>
      </c>
      <c r="E8" s="99">
        <v>3956</v>
      </c>
      <c r="F8" s="99"/>
      <c r="G8" s="99">
        <v>3956</v>
      </c>
      <c r="H8" s="67"/>
      <c r="I8" s="67">
        <f t="shared" si="0"/>
        <v>0</v>
      </c>
      <c r="J8" s="17" t="s">
        <v>8</v>
      </c>
      <c r="K8" s="106">
        <v>158</v>
      </c>
      <c r="L8" s="80" t="s">
        <v>26</v>
      </c>
      <c r="M8" s="11">
        <f t="shared" si="2"/>
        <v>0</v>
      </c>
      <c r="N8" s="146">
        <v>0</v>
      </c>
      <c r="O8" s="11">
        <f t="shared" si="3"/>
        <v>0</v>
      </c>
      <c r="P8" s="146">
        <f t="shared" si="4"/>
        <v>0</v>
      </c>
    </row>
    <row r="9" spans="1:16" x14ac:dyDescent="0.25">
      <c r="A9" s="22" t="s">
        <v>17</v>
      </c>
      <c r="B9" s="86">
        <v>45901</v>
      </c>
      <c r="C9" s="22" t="s">
        <v>297</v>
      </c>
      <c r="D9" s="23" t="s">
        <v>18</v>
      </c>
      <c r="E9" s="99">
        <v>500</v>
      </c>
      <c r="F9" s="99"/>
      <c r="G9" s="99"/>
      <c r="H9" s="67"/>
      <c r="I9" s="67">
        <f t="shared" si="0"/>
        <v>500</v>
      </c>
      <c r="J9" s="17" t="s">
        <v>8</v>
      </c>
      <c r="K9" s="106">
        <v>137</v>
      </c>
      <c r="L9" s="80" t="s">
        <v>25</v>
      </c>
      <c r="M9" s="11">
        <f t="shared" si="2"/>
        <v>76.27</v>
      </c>
      <c r="N9" s="146">
        <v>0</v>
      </c>
      <c r="O9" s="11">
        <f t="shared" si="3"/>
        <v>0</v>
      </c>
      <c r="P9" s="146">
        <f t="shared" si="4"/>
        <v>76.27</v>
      </c>
    </row>
    <row r="10" spans="1:16" hidden="1" x14ac:dyDescent="0.25">
      <c r="A10" s="22" t="s">
        <v>119</v>
      </c>
      <c r="B10" s="86">
        <v>45911</v>
      </c>
      <c r="C10" s="22" t="s">
        <v>303</v>
      </c>
      <c r="D10" s="23" t="s">
        <v>7</v>
      </c>
      <c r="E10" s="99">
        <v>20982</v>
      </c>
      <c r="F10" s="99"/>
      <c r="G10" s="99">
        <v>1778</v>
      </c>
      <c r="H10" s="67">
        <v>19204</v>
      </c>
      <c r="I10" s="67">
        <f t="shared" si="0"/>
        <v>0</v>
      </c>
      <c r="J10" s="17" t="s">
        <v>8</v>
      </c>
      <c r="K10" s="106">
        <v>127</v>
      </c>
      <c r="L10" s="80" t="s">
        <v>24</v>
      </c>
      <c r="M10" s="11">
        <f t="shared" si="2"/>
        <v>0</v>
      </c>
      <c r="N10" s="11"/>
      <c r="O10" s="11">
        <f t="shared" si="3"/>
        <v>0</v>
      </c>
      <c r="P10" s="146">
        <f t="shared" si="4"/>
        <v>0</v>
      </c>
    </row>
    <row r="11" spans="1:16" x14ac:dyDescent="0.25">
      <c r="A11" s="23" t="s">
        <v>119</v>
      </c>
      <c r="B11" s="86">
        <v>45945</v>
      </c>
      <c r="C11" s="22" t="s">
        <v>444</v>
      </c>
      <c r="D11" s="23" t="s">
        <v>7</v>
      </c>
      <c r="E11" s="99">
        <v>20076</v>
      </c>
      <c r="F11" s="99"/>
      <c r="G11" s="99"/>
      <c r="H11" s="67"/>
      <c r="I11" s="67">
        <f t="shared" si="0"/>
        <v>20076</v>
      </c>
      <c r="J11" s="17" t="s">
        <v>8</v>
      </c>
      <c r="K11" s="106">
        <v>93</v>
      </c>
      <c r="L11" s="80" t="s">
        <v>24</v>
      </c>
      <c r="M11" s="11">
        <f t="shared" si="2"/>
        <v>3062.44</v>
      </c>
      <c r="N11" s="11">
        <v>14316.81</v>
      </c>
      <c r="O11" s="11">
        <f t="shared" si="3"/>
        <v>2577.0257999999999</v>
      </c>
      <c r="P11" s="146">
        <f t="shared" si="4"/>
        <v>485.41420000000016</v>
      </c>
    </row>
    <row r="12" spans="1:16" hidden="1" x14ac:dyDescent="0.25">
      <c r="A12" s="23" t="s">
        <v>324</v>
      </c>
      <c r="B12" s="86">
        <v>45976</v>
      </c>
      <c r="C12" s="22" t="s">
        <v>471</v>
      </c>
      <c r="D12" s="23" t="s">
        <v>7</v>
      </c>
      <c r="E12" s="99">
        <v>0</v>
      </c>
      <c r="F12" s="99"/>
      <c r="G12" s="99"/>
      <c r="H12" s="67"/>
      <c r="I12" s="67">
        <f t="shared" si="0"/>
        <v>0</v>
      </c>
      <c r="J12" s="17" t="s">
        <v>8</v>
      </c>
      <c r="K12" s="106">
        <v>0</v>
      </c>
      <c r="L12" s="80" t="s">
        <v>26</v>
      </c>
      <c r="M12" s="11">
        <f t="shared" si="2"/>
        <v>0</v>
      </c>
      <c r="N12" s="146"/>
      <c r="O12" s="11">
        <f t="shared" si="3"/>
        <v>0</v>
      </c>
      <c r="P12" s="146">
        <f t="shared" si="4"/>
        <v>0</v>
      </c>
    </row>
    <row r="13" spans="1:16" x14ac:dyDescent="0.25">
      <c r="A13" s="23" t="s">
        <v>17</v>
      </c>
      <c r="B13" s="86">
        <v>46002</v>
      </c>
      <c r="C13" s="22" t="s">
        <v>508</v>
      </c>
      <c r="D13" s="23" t="s">
        <v>18</v>
      </c>
      <c r="E13" s="99">
        <v>30680</v>
      </c>
      <c r="F13" s="99"/>
      <c r="G13" s="99"/>
      <c r="H13" s="67"/>
      <c r="I13" s="67">
        <f t="shared" si="0"/>
        <v>30680</v>
      </c>
      <c r="J13" s="17" t="s">
        <v>8</v>
      </c>
      <c r="K13" s="106">
        <v>36</v>
      </c>
      <c r="L13" s="80" t="s">
        <v>26</v>
      </c>
      <c r="M13" s="11">
        <f t="shared" si="2"/>
        <v>4680</v>
      </c>
      <c r="N13" s="11"/>
      <c r="O13" s="11">
        <f t="shared" si="3"/>
        <v>0</v>
      </c>
      <c r="P13" s="146">
        <f t="shared" si="4"/>
        <v>4680</v>
      </c>
    </row>
    <row r="14" spans="1:16" x14ac:dyDescent="0.25">
      <c r="A14" s="23" t="s">
        <v>17</v>
      </c>
      <c r="B14" s="86">
        <v>46002</v>
      </c>
      <c r="C14" s="22" t="s">
        <v>509</v>
      </c>
      <c r="D14" s="23" t="s">
        <v>18</v>
      </c>
      <c r="E14" s="99">
        <v>5900</v>
      </c>
      <c r="F14" s="99"/>
      <c r="G14" s="99"/>
      <c r="H14" s="67"/>
      <c r="I14" s="67">
        <f t="shared" si="0"/>
        <v>5900</v>
      </c>
      <c r="J14" s="17" t="s">
        <v>8</v>
      </c>
      <c r="K14" s="106">
        <v>36</v>
      </c>
      <c r="L14" s="80" t="s">
        <v>24</v>
      </c>
      <c r="M14" s="11">
        <f t="shared" si="2"/>
        <v>900</v>
      </c>
      <c r="N14" s="11"/>
      <c r="O14" s="11">
        <f t="shared" si="3"/>
        <v>0</v>
      </c>
      <c r="P14" s="146">
        <f t="shared" si="4"/>
        <v>900</v>
      </c>
    </row>
    <row r="15" spans="1:16" x14ac:dyDescent="0.25">
      <c r="A15" s="23" t="s">
        <v>119</v>
      </c>
      <c r="B15" s="86">
        <v>46006</v>
      </c>
      <c r="C15" s="22" t="s">
        <v>517</v>
      </c>
      <c r="D15" s="23" t="s">
        <v>7</v>
      </c>
      <c r="E15" s="99">
        <v>22683</v>
      </c>
      <c r="F15" s="99"/>
      <c r="G15" s="99"/>
      <c r="H15" s="67"/>
      <c r="I15" s="67">
        <f t="shared" si="0"/>
        <v>22683</v>
      </c>
      <c r="J15" s="17" t="s">
        <v>8</v>
      </c>
      <c r="K15" s="106">
        <v>32</v>
      </c>
      <c r="L15" s="80" t="s">
        <v>24</v>
      </c>
      <c r="M15" s="11">
        <f t="shared" si="2"/>
        <v>3460.12</v>
      </c>
      <c r="N15" s="146"/>
      <c r="O15" s="11">
        <f t="shared" si="3"/>
        <v>0</v>
      </c>
      <c r="P15" s="146">
        <f t="shared" si="4"/>
        <v>3460.12</v>
      </c>
    </row>
    <row r="16" spans="1:16" hidden="1" x14ac:dyDescent="0.25">
      <c r="A16" s="23" t="s">
        <v>324</v>
      </c>
      <c r="B16" s="86">
        <v>46006</v>
      </c>
      <c r="C16" s="22" t="s">
        <v>518</v>
      </c>
      <c r="D16" s="23" t="s">
        <v>7</v>
      </c>
      <c r="E16" s="99">
        <v>0</v>
      </c>
      <c r="F16" s="99"/>
      <c r="G16" s="99"/>
      <c r="H16" s="67"/>
      <c r="I16" s="67">
        <f t="shared" si="0"/>
        <v>0</v>
      </c>
      <c r="J16" s="17" t="s">
        <v>8</v>
      </c>
      <c r="K16" s="106">
        <v>0</v>
      </c>
      <c r="L16" s="80" t="s">
        <v>24</v>
      </c>
      <c r="M16" s="11">
        <f t="shared" si="2"/>
        <v>0</v>
      </c>
      <c r="N16" s="11"/>
      <c r="O16" s="11">
        <f t="shared" si="3"/>
        <v>0</v>
      </c>
      <c r="P16" s="146">
        <f t="shared" si="4"/>
        <v>0</v>
      </c>
    </row>
    <row r="17" spans="1:16" hidden="1" x14ac:dyDescent="0.25">
      <c r="A17" s="23" t="s">
        <v>17</v>
      </c>
      <c r="B17" s="86">
        <v>46032</v>
      </c>
      <c r="C17" s="22" t="s">
        <v>584</v>
      </c>
      <c r="D17" s="23" t="s">
        <v>18</v>
      </c>
      <c r="E17" s="99">
        <v>30680</v>
      </c>
      <c r="F17" s="99"/>
      <c r="G17" s="99"/>
      <c r="H17" s="67">
        <v>25000</v>
      </c>
      <c r="I17" s="67">
        <f t="shared" si="0"/>
        <v>5680</v>
      </c>
      <c r="J17" s="17" t="s">
        <v>8</v>
      </c>
      <c r="K17" s="106">
        <v>6</v>
      </c>
      <c r="L17" s="80" t="s">
        <v>24</v>
      </c>
      <c r="M17" s="11">
        <f t="shared" si="2"/>
        <v>866.44</v>
      </c>
      <c r="N17" s="146"/>
      <c r="O17" s="11">
        <f t="shared" si="3"/>
        <v>0</v>
      </c>
      <c r="P17" s="146">
        <f t="shared" si="4"/>
        <v>866.44</v>
      </c>
    </row>
    <row r="18" spans="1:16" hidden="1" x14ac:dyDescent="0.25">
      <c r="A18" s="23" t="s">
        <v>17</v>
      </c>
      <c r="B18" s="86">
        <v>46032</v>
      </c>
      <c r="C18" s="22" t="s">
        <v>585</v>
      </c>
      <c r="D18" s="23" t="s">
        <v>18</v>
      </c>
      <c r="E18" s="99">
        <v>5900</v>
      </c>
      <c r="F18" s="99"/>
      <c r="G18" s="99"/>
      <c r="H18" s="67"/>
      <c r="I18" s="67">
        <f t="shared" si="0"/>
        <v>5900</v>
      </c>
      <c r="J18" s="17" t="s">
        <v>8</v>
      </c>
      <c r="K18" s="106">
        <v>6</v>
      </c>
      <c r="L18" s="80" t="s">
        <v>25</v>
      </c>
      <c r="M18" s="11">
        <f t="shared" si="2"/>
        <v>900</v>
      </c>
      <c r="N18" s="11"/>
      <c r="O18" s="11">
        <f t="shared" si="3"/>
        <v>0</v>
      </c>
      <c r="P18" s="146">
        <f t="shared" si="4"/>
        <v>900</v>
      </c>
    </row>
    <row r="19" spans="1:16" hidden="1" x14ac:dyDescent="0.25">
      <c r="A19" s="23" t="s">
        <v>119</v>
      </c>
      <c r="B19" s="86">
        <v>46036</v>
      </c>
      <c r="C19" s="22" t="s">
        <v>586</v>
      </c>
      <c r="D19" s="23" t="s">
        <v>7</v>
      </c>
      <c r="E19" s="99">
        <v>26057</v>
      </c>
      <c r="F19" s="99"/>
      <c r="G19" s="99"/>
      <c r="H19" s="67"/>
      <c r="I19" s="67">
        <f t="shared" si="0"/>
        <v>26057</v>
      </c>
      <c r="J19" s="17" t="s">
        <v>8</v>
      </c>
      <c r="K19" s="106">
        <v>2</v>
      </c>
      <c r="L19" s="80" t="s">
        <v>26</v>
      </c>
      <c r="M19" s="11">
        <f t="shared" si="2"/>
        <v>3974.8</v>
      </c>
      <c r="N19" s="11"/>
      <c r="O19" s="11">
        <f t="shared" si="3"/>
        <v>0</v>
      </c>
      <c r="P19" s="146">
        <f t="shared" si="4"/>
        <v>3974.8</v>
      </c>
    </row>
    <row r="20" spans="1:16" hidden="1" x14ac:dyDescent="0.25">
      <c r="A20" s="23" t="s">
        <v>324</v>
      </c>
      <c r="B20" s="86">
        <v>46036</v>
      </c>
      <c r="C20" s="22" t="s">
        <v>587</v>
      </c>
      <c r="D20" s="23" t="s">
        <v>7</v>
      </c>
      <c r="E20" s="99">
        <v>0</v>
      </c>
      <c r="F20" s="99"/>
      <c r="G20" s="99"/>
      <c r="H20" s="67"/>
      <c r="I20" s="67">
        <f t="shared" si="0"/>
        <v>0</v>
      </c>
      <c r="J20" s="17" t="s">
        <v>8</v>
      </c>
      <c r="K20" s="106">
        <v>0</v>
      </c>
      <c r="L20" s="80" t="s">
        <v>25</v>
      </c>
      <c r="M20" s="11">
        <f t="shared" si="2"/>
        <v>0</v>
      </c>
      <c r="N20" s="147"/>
      <c r="O20" s="11">
        <f t="shared" si="3"/>
        <v>0</v>
      </c>
      <c r="P20" s="146">
        <f t="shared" si="4"/>
        <v>0</v>
      </c>
    </row>
    <row r="21" spans="1:16" hidden="1" x14ac:dyDescent="0.25">
      <c r="A21" s="23" t="s">
        <v>533</v>
      </c>
      <c r="B21" s="86">
        <v>46039</v>
      </c>
      <c r="C21" s="22" t="s">
        <v>632</v>
      </c>
      <c r="D21" s="23" t="s">
        <v>534</v>
      </c>
      <c r="E21" s="99"/>
      <c r="F21" s="99">
        <v>1034952</v>
      </c>
      <c r="G21" s="99"/>
      <c r="H21" s="67"/>
      <c r="I21" s="67">
        <f t="shared" si="0"/>
        <v>1034952</v>
      </c>
      <c r="J21" s="17" t="s">
        <v>8</v>
      </c>
      <c r="K21" s="106"/>
      <c r="L21" s="80" t="s">
        <v>25</v>
      </c>
      <c r="M21" s="11">
        <f t="shared" si="2"/>
        <v>157874.03</v>
      </c>
      <c r="N21" s="11"/>
      <c r="O21" s="11">
        <f t="shared" si="3"/>
        <v>0</v>
      </c>
      <c r="P21" s="146">
        <f t="shared" si="4"/>
        <v>157874.03</v>
      </c>
    </row>
    <row r="22" spans="1:16" hidden="1" x14ac:dyDescent="0.25">
      <c r="A22" s="23" t="s">
        <v>533</v>
      </c>
      <c r="B22" s="86">
        <v>46039</v>
      </c>
      <c r="C22" s="22" t="s">
        <v>633</v>
      </c>
      <c r="D22" s="23" t="s">
        <v>534</v>
      </c>
      <c r="E22" s="99"/>
      <c r="F22" s="99">
        <v>46883</v>
      </c>
      <c r="G22" s="99"/>
      <c r="H22" s="67"/>
      <c r="I22" s="67">
        <f t="shared" si="0"/>
        <v>46883</v>
      </c>
      <c r="J22" s="17" t="s">
        <v>8</v>
      </c>
      <c r="K22" s="106"/>
      <c r="L22" s="80" t="s">
        <v>26</v>
      </c>
      <c r="M22" s="11">
        <f t="shared" si="2"/>
        <v>7151.64</v>
      </c>
      <c r="N22" s="146"/>
      <c r="O22" s="11">
        <f t="shared" si="3"/>
        <v>0</v>
      </c>
      <c r="P22" s="146">
        <f t="shared" si="4"/>
        <v>7151.64</v>
      </c>
    </row>
    <row r="23" spans="1:16" hidden="1" x14ac:dyDescent="0.25">
      <c r="A23" s="23" t="s">
        <v>278</v>
      </c>
      <c r="B23" s="86">
        <v>46042</v>
      </c>
      <c r="C23" s="22" t="s">
        <v>634</v>
      </c>
      <c r="D23" s="23" t="s">
        <v>280</v>
      </c>
      <c r="E23" s="99"/>
      <c r="F23" s="99">
        <v>95285</v>
      </c>
      <c r="G23" s="99">
        <v>8075</v>
      </c>
      <c r="H23" s="67">
        <v>87210</v>
      </c>
      <c r="I23" s="67">
        <f t="shared" si="0"/>
        <v>0</v>
      </c>
      <c r="J23" s="17" t="s">
        <v>8</v>
      </c>
      <c r="K23" s="106"/>
      <c r="L23" s="80" t="s">
        <v>26</v>
      </c>
      <c r="M23" s="11">
        <f t="shared" si="2"/>
        <v>0</v>
      </c>
      <c r="N23" s="146"/>
      <c r="O23" s="11">
        <f t="shared" si="3"/>
        <v>0</v>
      </c>
      <c r="P23" s="146">
        <f t="shared" si="4"/>
        <v>0</v>
      </c>
    </row>
    <row r="24" spans="1:16" x14ac:dyDescent="0.25">
      <c r="A24" s="22" t="s">
        <v>175</v>
      </c>
      <c r="B24" s="86">
        <v>45975</v>
      </c>
      <c r="C24" s="22" t="s">
        <v>469</v>
      </c>
      <c r="D24" s="17" t="s">
        <v>123</v>
      </c>
      <c r="E24" s="99">
        <v>1397</v>
      </c>
      <c r="F24" s="99"/>
      <c r="G24" s="99"/>
      <c r="H24" s="67"/>
      <c r="I24" s="145">
        <f t="shared" si="0"/>
        <v>1397</v>
      </c>
      <c r="J24" s="17" t="s">
        <v>12</v>
      </c>
      <c r="K24" s="106">
        <v>63</v>
      </c>
      <c r="L24" s="80" t="s">
        <v>411</v>
      </c>
      <c r="M24" s="11">
        <f t="shared" si="2"/>
        <v>213.1</v>
      </c>
      <c r="N24" s="11"/>
      <c r="O24" s="11">
        <f t="shared" si="3"/>
        <v>0</v>
      </c>
      <c r="P24" s="146">
        <f t="shared" si="4"/>
        <v>213.1</v>
      </c>
    </row>
    <row r="25" spans="1:16" x14ac:dyDescent="0.25">
      <c r="A25" s="22" t="s">
        <v>19</v>
      </c>
      <c r="B25" s="86">
        <v>45976</v>
      </c>
      <c r="C25" s="22" t="s">
        <v>472</v>
      </c>
      <c r="D25" s="17" t="s">
        <v>7</v>
      </c>
      <c r="E25" s="99">
        <v>6282</v>
      </c>
      <c r="F25" s="99"/>
      <c r="G25" s="99"/>
      <c r="H25" s="67"/>
      <c r="I25" s="145">
        <f t="shared" si="0"/>
        <v>6282</v>
      </c>
      <c r="J25" s="17" t="s">
        <v>12</v>
      </c>
      <c r="K25" s="106">
        <v>62</v>
      </c>
      <c r="L25" s="80" t="s">
        <v>411</v>
      </c>
      <c r="M25" s="11">
        <f t="shared" si="2"/>
        <v>958.27</v>
      </c>
      <c r="N25" s="11"/>
      <c r="O25" s="11">
        <f t="shared" si="3"/>
        <v>0</v>
      </c>
      <c r="P25" s="146">
        <f t="shared" si="4"/>
        <v>958.27</v>
      </c>
    </row>
    <row r="26" spans="1:16" hidden="1" x14ac:dyDescent="0.25">
      <c r="A26" s="22" t="s">
        <v>29</v>
      </c>
      <c r="B26" s="86">
        <v>45976</v>
      </c>
      <c r="C26" s="22" t="s">
        <v>473</v>
      </c>
      <c r="D26" s="17" t="s">
        <v>7</v>
      </c>
      <c r="E26" s="99">
        <v>19613</v>
      </c>
      <c r="F26" s="99"/>
      <c r="G26" s="99"/>
      <c r="H26" s="67">
        <v>19613</v>
      </c>
      <c r="I26" s="145">
        <f t="shared" si="0"/>
        <v>0</v>
      </c>
      <c r="J26" s="17" t="s">
        <v>12</v>
      </c>
      <c r="K26" s="106">
        <v>62</v>
      </c>
      <c r="L26" s="80" t="s">
        <v>411</v>
      </c>
      <c r="M26" s="11">
        <f t="shared" si="2"/>
        <v>0</v>
      </c>
      <c r="N26" s="146"/>
      <c r="O26" s="11">
        <f t="shared" si="3"/>
        <v>0</v>
      </c>
      <c r="P26" s="146">
        <f t="shared" si="4"/>
        <v>0</v>
      </c>
    </row>
    <row r="27" spans="1:16" x14ac:dyDescent="0.25">
      <c r="A27" s="22" t="s">
        <v>168</v>
      </c>
      <c r="B27" s="86">
        <v>45982</v>
      </c>
      <c r="C27" s="22" t="s">
        <v>482</v>
      </c>
      <c r="D27" s="23" t="s">
        <v>7</v>
      </c>
      <c r="E27" s="99">
        <v>16908</v>
      </c>
      <c r="F27" s="99"/>
      <c r="G27" s="99"/>
      <c r="H27" s="67"/>
      <c r="I27" s="145">
        <f t="shared" si="0"/>
        <v>16908</v>
      </c>
      <c r="J27" s="17" t="s">
        <v>12</v>
      </c>
      <c r="K27" s="106">
        <v>56</v>
      </c>
      <c r="L27" s="80" t="s">
        <v>411</v>
      </c>
      <c r="M27" s="11">
        <f t="shared" si="2"/>
        <v>2579.19</v>
      </c>
      <c r="N27" s="11"/>
      <c r="O27" s="11">
        <f t="shared" si="3"/>
        <v>0</v>
      </c>
      <c r="P27" s="146">
        <f t="shared" si="4"/>
        <v>2579.19</v>
      </c>
    </row>
    <row r="28" spans="1:16" hidden="1" x14ac:dyDescent="0.25">
      <c r="A28" s="22" t="s">
        <v>468</v>
      </c>
      <c r="B28" s="86">
        <v>45987</v>
      </c>
      <c r="C28" s="22" t="s">
        <v>494</v>
      </c>
      <c r="D28" s="23" t="s">
        <v>243</v>
      </c>
      <c r="E28" s="99">
        <v>7965</v>
      </c>
      <c r="F28" s="99"/>
      <c r="G28" s="99">
        <v>7965</v>
      </c>
      <c r="H28" s="67"/>
      <c r="I28" s="145">
        <f t="shared" si="0"/>
        <v>0</v>
      </c>
      <c r="J28" s="17" t="s">
        <v>12</v>
      </c>
      <c r="K28" s="106">
        <v>51</v>
      </c>
      <c r="L28" s="80" t="s">
        <v>26</v>
      </c>
      <c r="M28" s="11">
        <f t="shared" si="2"/>
        <v>0</v>
      </c>
      <c r="N28" s="11"/>
      <c r="O28" s="11">
        <f t="shared" si="3"/>
        <v>0</v>
      </c>
      <c r="P28" s="146">
        <f t="shared" si="4"/>
        <v>0</v>
      </c>
    </row>
    <row r="29" spans="1:16" hidden="1" x14ac:dyDescent="0.25">
      <c r="A29" s="23" t="s">
        <v>497</v>
      </c>
      <c r="B29" s="86">
        <v>45994</v>
      </c>
      <c r="C29" s="22" t="s">
        <v>498</v>
      </c>
      <c r="D29" s="23" t="s">
        <v>16</v>
      </c>
      <c r="E29" s="99">
        <v>5000</v>
      </c>
      <c r="F29" s="99"/>
      <c r="G29" s="99"/>
      <c r="H29" s="67">
        <v>5000</v>
      </c>
      <c r="I29" s="145">
        <f t="shared" si="0"/>
        <v>0</v>
      </c>
      <c r="J29" s="17" t="s">
        <v>12</v>
      </c>
      <c r="K29" s="106">
        <v>44</v>
      </c>
      <c r="L29" s="80" t="s">
        <v>24</v>
      </c>
      <c r="M29" s="11">
        <f t="shared" si="2"/>
        <v>0</v>
      </c>
      <c r="N29" s="11"/>
      <c r="O29" s="11">
        <f t="shared" si="3"/>
        <v>0</v>
      </c>
      <c r="P29" s="146">
        <f t="shared" si="4"/>
        <v>0</v>
      </c>
    </row>
    <row r="30" spans="1:16" x14ac:dyDescent="0.25">
      <c r="A30" s="23" t="s">
        <v>93</v>
      </c>
      <c r="B30" s="86">
        <v>45994</v>
      </c>
      <c r="C30" s="22" t="s">
        <v>499</v>
      </c>
      <c r="D30" s="23" t="s">
        <v>368</v>
      </c>
      <c r="E30" s="99">
        <v>43365</v>
      </c>
      <c r="F30" s="99"/>
      <c r="G30" s="99">
        <v>735</v>
      </c>
      <c r="H30" s="67">
        <v>41625</v>
      </c>
      <c r="I30" s="145">
        <f t="shared" si="0"/>
        <v>1005</v>
      </c>
      <c r="J30" s="17" t="s">
        <v>12</v>
      </c>
      <c r="K30" s="106">
        <v>44</v>
      </c>
      <c r="L30" s="80" t="s">
        <v>25</v>
      </c>
      <c r="M30" s="11">
        <f t="shared" si="2"/>
        <v>153.31</v>
      </c>
      <c r="N30" s="147"/>
      <c r="O30" s="11">
        <f t="shared" si="3"/>
        <v>0</v>
      </c>
      <c r="P30" s="146">
        <f t="shared" si="4"/>
        <v>153.31</v>
      </c>
    </row>
    <row r="31" spans="1:16" x14ac:dyDescent="0.25">
      <c r="A31" s="23" t="s">
        <v>340</v>
      </c>
      <c r="B31" s="86">
        <v>45996</v>
      </c>
      <c r="C31" s="22" t="s">
        <v>502</v>
      </c>
      <c r="D31" s="23" t="s">
        <v>282</v>
      </c>
      <c r="E31" s="99">
        <v>10217</v>
      </c>
      <c r="F31" s="99"/>
      <c r="G31" s="99"/>
      <c r="H31" s="67"/>
      <c r="I31" s="145">
        <f t="shared" si="0"/>
        <v>10217</v>
      </c>
      <c r="J31" s="17" t="s">
        <v>12</v>
      </c>
      <c r="K31" s="106">
        <v>42</v>
      </c>
      <c r="L31" s="80" t="s">
        <v>24</v>
      </c>
      <c r="M31" s="11">
        <f t="shared" si="2"/>
        <v>1558.53</v>
      </c>
      <c r="N31" s="146"/>
      <c r="O31" s="11">
        <f t="shared" si="3"/>
        <v>0</v>
      </c>
      <c r="P31" s="146">
        <f t="shared" si="4"/>
        <v>1558.53</v>
      </c>
    </row>
    <row r="32" spans="1:16" x14ac:dyDescent="0.25">
      <c r="A32" s="23" t="s">
        <v>148</v>
      </c>
      <c r="B32" s="86">
        <v>46002</v>
      </c>
      <c r="C32" s="22" t="s">
        <v>510</v>
      </c>
      <c r="D32" s="23" t="s">
        <v>282</v>
      </c>
      <c r="E32" s="99">
        <v>3629</v>
      </c>
      <c r="F32" s="99"/>
      <c r="G32" s="99"/>
      <c r="H32" s="67"/>
      <c r="I32" s="145">
        <f t="shared" si="0"/>
        <v>3629</v>
      </c>
      <c r="J32" s="17" t="s">
        <v>12</v>
      </c>
      <c r="K32" s="106">
        <v>36</v>
      </c>
      <c r="L32" s="80" t="s">
        <v>24</v>
      </c>
      <c r="M32" s="11">
        <f t="shared" si="2"/>
        <v>553.58000000000004</v>
      </c>
      <c r="N32" s="11"/>
      <c r="O32" s="11">
        <f t="shared" si="3"/>
        <v>0</v>
      </c>
      <c r="P32" s="146">
        <f t="shared" si="4"/>
        <v>553.58000000000004</v>
      </c>
    </row>
    <row r="33" spans="1:16" hidden="1" x14ac:dyDescent="0.25">
      <c r="A33" s="23" t="s">
        <v>60</v>
      </c>
      <c r="B33" s="86">
        <v>46006</v>
      </c>
      <c r="C33" s="22" t="s">
        <v>519</v>
      </c>
      <c r="D33" s="23" t="s">
        <v>7</v>
      </c>
      <c r="E33" s="99">
        <v>0</v>
      </c>
      <c r="F33" s="99"/>
      <c r="G33" s="99"/>
      <c r="H33" s="67"/>
      <c r="I33" s="145">
        <f t="shared" si="0"/>
        <v>0</v>
      </c>
      <c r="J33" s="17" t="s">
        <v>12</v>
      </c>
      <c r="K33" s="106">
        <v>0</v>
      </c>
      <c r="L33" s="80" t="s">
        <v>24</v>
      </c>
      <c r="M33" s="11">
        <f t="shared" si="2"/>
        <v>0</v>
      </c>
      <c r="N33" s="11"/>
      <c r="O33" s="11">
        <f t="shared" si="3"/>
        <v>0</v>
      </c>
      <c r="P33" s="146">
        <f t="shared" si="4"/>
        <v>0</v>
      </c>
    </row>
    <row r="34" spans="1:16" hidden="1" x14ac:dyDescent="0.25">
      <c r="A34" s="23" t="s">
        <v>29</v>
      </c>
      <c r="B34" s="86">
        <v>46006</v>
      </c>
      <c r="C34" s="22" t="s">
        <v>521</v>
      </c>
      <c r="D34" s="23" t="s">
        <v>7</v>
      </c>
      <c r="E34" s="99">
        <v>17288</v>
      </c>
      <c r="F34" s="99"/>
      <c r="G34" s="99"/>
      <c r="H34" s="67">
        <v>17288</v>
      </c>
      <c r="I34" s="145">
        <f t="shared" si="0"/>
        <v>0</v>
      </c>
      <c r="J34" s="17" t="s">
        <v>12</v>
      </c>
      <c r="K34" s="106">
        <v>32</v>
      </c>
      <c r="L34" s="80" t="s">
        <v>26</v>
      </c>
      <c r="M34" s="11">
        <f t="shared" si="2"/>
        <v>0</v>
      </c>
      <c r="N34" s="11"/>
      <c r="O34" s="11">
        <f t="shared" si="3"/>
        <v>0</v>
      </c>
      <c r="P34" s="146">
        <f t="shared" si="4"/>
        <v>0</v>
      </c>
    </row>
    <row r="35" spans="1:16" hidden="1" x14ac:dyDescent="0.25">
      <c r="A35" s="23" t="s">
        <v>546</v>
      </c>
      <c r="B35" s="86">
        <v>46008</v>
      </c>
      <c r="C35" s="22" t="s">
        <v>537</v>
      </c>
      <c r="D35" s="23" t="s">
        <v>289</v>
      </c>
      <c r="E35" s="99">
        <v>15930</v>
      </c>
      <c r="F35" s="99"/>
      <c r="G35" s="99">
        <v>15930</v>
      </c>
      <c r="H35" s="67"/>
      <c r="I35" s="145">
        <f t="shared" si="0"/>
        <v>0</v>
      </c>
      <c r="J35" s="17" t="s">
        <v>12</v>
      </c>
      <c r="K35" s="106">
        <v>30</v>
      </c>
      <c r="L35" s="80" t="s">
        <v>26</v>
      </c>
      <c r="M35" s="11">
        <f t="shared" si="2"/>
        <v>0</v>
      </c>
      <c r="N35" s="147"/>
      <c r="O35" s="11">
        <f t="shared" si="3"/>
        <v>0</v>
      </c>
      <c r="P35" s="146">
        <f t="shared" si="4"/>
        <v>0</v>
      </c>
    </row>
    <row r="36" spans="1:16" x14ac:dyDescent="0.25">
      <c r="A36" s="23" t="s">
        <v>168</v>
      </c>
      <c r="B36" s="86">
        <v>46010</v>
      </c>
      <c r="C36" s="22" t="s">
        <v>543</v>
      </c>
      <c r="D36" s="23" t="s">
        <v>7</v>
      </c>
      <c r="E36" s="99">
        <v>16150</v>
      </c>
      <c r="F36" s="99"/>
      <c r="G36" s="99"/>
      <c r="H36" s="67"/>
      <c r="I36" s="145">
        <f t="shared" si="0"/>
        <v>16150</v>
      </c>
      <c r="J36" s="17" t="s">
        <v>12</v>
      </c>
      <c r="K36" s="106">
        <v>28</v>
      </c>
      <c r="L36" s="80" t="s">
        <v>26</v>
      </c>
      <c r="M36" s="11">
        <f t="shared" si="2"/>
        <v>2463.56</v>
      </c>
      <c r="N36" s="11"/>
      <c r="O36" s="11">
        <f t="shared" si="3"/>
        <v>0</v>
      </c>
      <c r="P36" s="146">
        <f t="shared" si="4"/>
        <v>2463.56</v>
      </c>
    </row>
    <row r="37" spans="1:16" x14ac:dyDescent="0.25">
      <c r="A37" s="23" t="s">
        <v>258</v>
      </c>
      <c r="B37" s="86">
        <v>46010</v>
      </c>
      <c r="C37" s="22" t="s">
        <v>544</v>
      </c>
      <c r="D37" s="23" t="s">
        <v>22</v>
      </c>
      <c r="E37" s="99">
        <v>6338</v>
      </c>
      <c r="F37" s="99"/>
      <c r="G37" s="99"/>
      <c r="H37" s="67"/>
      <c r="I37" s="145">
        <f t="shared" si="0"/>
        <v>6338</v>
      </c>
      <c r="J37" s="17" t="s">
        <v>12</v>
      </c>
      <c r="K37" s="106">
        <v>28</v>
      </c>
      <c r="L37" s="80" t="s">
        <v>24</v>
      </c>
      <c r="M37" s="11">
        <f t="shared" si="2"/>
        <v>966.81</v>
      </c>
      <c r="N37" s="11"/>
      <c r="O37" s="11">
        <f t="shared" si="3"/>
        <v>0</v>
      </c>
      <c r="P37" s="146">
        <f t="shared" si="4"/>
        <v>966.81</v>
      </c>
    </row>
    <row r="38" spans="1:16" hidden="1" x14ac:dyDescent="0.25">
      <c r="A38" s="23" t="s">
        <v>547</v>
      </c>
      <c r="B38" s="86">
        <v>46014</v>
      </c>
      <c r="C38" s="22" t="s">
        <v>548</v>
      </c>
      <c r="D38" s="23" t="s">
        <v>549</v>
      </c>
      <c r="E38" s="99">
        <v>39825</v>
      </c>
      <c r="F38" s="99"/>
      <c r="G38" s="99"/>
      <c r="H38" s="67">
        <v>39825</v>
      </c>
      <c r="I38" s="145">
        <f t="shared" si="0"/>
        <v>0</v>
      </c>
      <c r="J38" s="17" t="s">
        <v>12</v>
      </c>
      <c r="K38" s="106">
        <v>24</v>
      </c>
      <c r="L38" s="80" t="s">
        <v>24</v>
      </c>
      <c r="M38" s="11">
        <f t="shared" si="2"/>
        <v>0</v>
      </c>
      <c r="N38" s="11"/>
      <c r="O38" s="11">
        <f t="shared" si="3"/>
        <v>0</v>
      </c>
      <c r="P38" s="146">
        <f t="shared" si="4"/>
        <v>0</v>
      </c>
    </row>
    <row r="39" spans="1:16" hidden="1" x14ac:dyDescent="0.25">
      <c r="A39" s="23" t="s">
        <v>497</v>
      </c>
      <c r="B39" s="86">
        <v>46020</v>
      </c>
      <c r="C39" s="22" t="s">
        <v>560</v>
      </c>
      <c r="D39" s="23" t="s">
        <v>289</v>
      </c>
      <c r="E39" s="99">
        <v>15930</v>
      </c>
      <c r="F39" s="99"/>
      <c r="G39" s="99"/>
      <c r="H39" s="67">
        <v>15930</v>
      </c>
      <c r="I39" s="145">
        <f t="shared" si="0"/>
        <v>0</v>
      </c>
      <c r="J39" s="17" t="s">
        <v>12</v>
      </c>
      <c r="K39" s="106">
        <v>18</v>
      </c>
      <c r="L39" s="80" t="s">
        <v>24</v>
      </c>
      <c r="M39" s="11">
        <f t="shared" si="2"/>
        <v>0</v>
      </c>
      <c r="N39" s="11"/>
      <c r="O39" s="11">
        <f t="shared" si="3"/>
        <v>0</v>
      </c>
      <c r="P39" s="146">
        <f t="shared" si="4"/>
        <v>0</v>
      </c>
    </row>
    <row r="40" spans="1:16" x14ac:dyDescent="0.25">
      <c r="A40" s="23" t="s">
        <v>145</v>
      </c>
      <c r="B40" s="86">
        <v>46021</v>
      </c>
      <c r="C40" s="22" t="s">
        <v>561</v>
      </c>
      <c r="D40" s="23" t="s">
        <v>289</v>
      </c>
      <c r="E40" s="99">
        <v>28674</v>
      </c>
      <c r="F40" s="99"/>
      <c r="G40" s="99"/>
      <c r="H40" s="67"/>
      <c r="I40" s="145">
        <f t="shared" si="0"/>
        <v>28674</v>
      </c>
      <c r="J40" s="17" t="s">
        <v>12</v>
      </c>
      <c r="K40" s="106">
        <v>17</v>
      </c>
      <c r="L40" s="80" t="s">
        <v>26</v>
      </c>
      <c r="M40" s="11">
        <f t="shared" si="2"/>
        <v>4374</v>
      </c>
      <c r="N40" s="11"/>
      <c r="O40" s="11">
        <f t="shared" si="3"/>
        <v>0</v>
      </c>
      <c r="P40" s="146">
        <f t="shared" si="4"/>
        <v>4374</v>
      </c>
    </row>
    <row r="41" spans="1:16" hidden="1" x14ac:dyDescent="0.25">
      <c r="A41" s="23" t="s">
        <v>496</v>
      </c>
      <c r="B41" s="86">
        <v>46024</v>
      </c>
      <c r="C41" s="22" t="s">
        <v>562</v>
      </c>
      <c r="D41" s="23" t="s">
        <v>13</v>
      </c>
      <c r="E41" s="99">
        <v>8850</v>
      </c>
      <c r="F41" s="99"/>
      <c r="G41" s="99"/>
      <c r="H41" s="67"/>
      <c r="I41" s="145">
        <f t="shared" si="0"/>
        <v>8850</v>
      </c>
      <c r="J41" s="17" t="s">
        <v>12</v>
      </c>
      <c r="K41" s="106">
        <v>14</v>
      </c>
      <c r="L41" s="80" t="s">
        <v>26</v>
      </c>
      <c r="M41" s="11">
        <f t="shared" si="2"/>
        <v>1350</v>
      </c>
      <c r="N41" s="11"/>
      <c r="O41" s="11">
        <f t="shared" si="3"/>
        <v>0</v>
      </c>
      <c r="P41" s="146">
        <f t="shared" si="4"/>
        <v>1350</v>
      </c>
    </row>
    <row r="42" spans="1:16" hidden="1" x14ac:dyDescent="0.25">
      <c r="A42" s="23" t="s">
        <v>569</v>
      </c>
      <c r="B42" s="86">
        <v>46024</v>
      </c>
      <c r="C42" s="22" t="s">
        <v>570</v>
      </c>
      <c r="D42" s="23" t="s">
        <v>282</v>
      </c>
      <c r="E42" s="99">
        <v>8213</v>
      </c>
      <c r="F42" s="99"/>
      <c r="G42" s="99"/>
      <c r="H42" s="67"/>
      <c r="I42" s="145">
        <f t="shared" si="0"/>
        <v>8213</v>
      </c>
      <c r="J42" s="17" t="s">
        <v>12</v>
      </c>
      <c r="K42" s="106">
        <v>14</v>
      </c>
      <c r="L42" s="80" t="s">
        <v>25</v>
      </c>
      <c r="M42" s="11">
        <f t="shared" si="2"/>
        <v>1252.83</v>
      </c>
      <c r="N42" s="11"/>
      <c r="O42" s="11">
        <f t="shared" si="3"/>
        <v>0</v>
      </c>
      <c r="P42" s="146">
        <f t="shared" si="4"/>
        <v>1252.83</v>
      </c>
    </row>
    <row r="43" spans="1:16" hidden="1" x14ac:dyDescent="0.25">
      <c r="A43" s="23" t="s">
        <v>571</v>
      </c>
      <c r="B43" s="86">
        <v>46024</v>
      </c>
      <c r="C43" s="22" t="s">
        <v>572</v>
      </c>
      <c r="D43" s="23" t="s">
        <v>282</v>
      </c>
      <c r="E43" s="99">
        <v>2053</v>
      </c>
      <c r="F43" s="99"/>
      <c r="G43" s="99"/>
      <c r="H43" s="67"/>
      <c r="I43" s="145">
        <f t="shared" si="0"/>
        <v>2053</v>
      </c>
      <c r="J43" s="17" t="s">
        <v>12</v>
      </c>
      <c r="K43" s="106">
        <v>14</v>
      </c>
      <c r="L43" s="80" t="s">
        <v>26</v>
      </c>
      <c r="M43" s="11">
        <f t="shared" si="2"/>
        <v>313.17</v>
      </c>
      <c r="N43" s="147"/>
      <c r="O43" s="11">
        <f t="shared" si="3"/>
        <v>0</v>
      </c>
      <c r="P43" s="146">
        <f t="shared" si="4"/>
        <v>313.17</v>
      </c>
    </row>
    <row r="44" spans="1:16" hidden="1" x14ac:dyDescent="0.25">
      <c r="A44" s="23" t="s">
        <v>216</v>
      </c>
      <c r="B44" s="86">
        <v>46028</v>
      </c>
      <c r="C44" s="22" t="s">
        <v>580</v>
      </c>
      <c r="D44" s="23" t="s">
        <v>123</v>
      </c>
      <c r="E44" s="99">
        <v>4262</v>
      </c>
      <c r="F44" s="99"/>
      <c r="G44" s="99"/>
      <c r="H44" s="67"/>
      <c r="I44" s="145">
        <f t="shared" si="0"/>
        <v>4262</v>
      </c>
      <c r="J44" s="17" t="s">
        <v>12</v>
      </c>
      <c r="K44" s="106">
        <v>10</v>
      </c>
      <c r="L44" s="80" t="s">
        <v>26</v>
      </c>
      <c r="M44" s="11">
        <f t="shared" si="2"/>
        <v>650.14</v>
      </c>
      <c r="N44" s="11"/>
      <c r="O44" s="11">
        <f t="shared" si="3"/>
        <v>0</v>
      </c>
      <c r="P44" s="146">
        <f t="shared" si="4"/>
        <v>650.14</v>
      </c>
    </row>
    <row r="45" spans="1:16" hidden="1" x14ac:dyDescent="0.25">
      <c r="A45" s="23" t="s">
        <v>145</v>
      </c>
      <c r="B45" s="86">
        <v>46029</v>
      </c>
      <c r="C45" s="22" t="s">
        <v>581</v>
      </c>
      <c r="D45" s="23" t="s">
        <v>289</v>
      </c>
      <c r="E45" s="99">
        <v>28674</v>
      </c>
      <c r="F45" s="99"/>
      <c r="G45" s="99"/>
      <c r="H45" s="67"/>
      <c r="I45" s="145">
        <f t="shared" si="0"/>
        <v>28674</v>
      </c>
      <c r="J45" s="17" t="s">
        <v>12</v>
      </c>
      <c r="K45" s="106">
        <v>9</v>
      </c>
      <c r="L45" s="80" t="s">
        <v>24</v>
      </c>
      <c r="M45" s="11">
        <f t="shared" si="2"/>
        <v>4374</v>
      </c>
      <c r="N45" s="11"/>
      <c r="O45" s="11">
        <f t="shared" si="3"/>
        <v>0</v>
      </c>
      <c r="P45" s="146">
        <f t="shared" si="4"/>
        <v>4374</v>
      </c>
    </row>
    <row r="46" spans="1:16" hidden="1" x14ac:dyDescent="0.25">
      <c r="A46" s="23" t="s">
        <v>592</v>
      </c>
      <c r="B46" s="86">
        <v>46036</v>
      </c>
      <c r="C46" s="22" t="s">
        <v>593</v>
      </c>
      <c r="D46" s="23" t="s">
        <v>281</v>
      </c>
      <c r="E46" s="99">
        <v>708</v>
      </c>
      <c r="F46" s="99"/>
      <c r="G46" s="99"/>
      <c r="H46" s="67"/>
      <c r="I46" s="145">
        <f t="shared" si="0"/>
        <v>708</v>
      </c>
      <c r="J46" s="17" t="s">
        <v>12</v>
      </c>
      <c r="K46" s="106">
        <v>2</v>
      </c>
      <c r="L46" s="80" t="s">
        <v>25</v>
      </c>
      <c r="M46" s="11">
        <f t="shared" si="2"/>
        <v>108</v>
      </c>
      <c r="N46" s="11"/>
      <c r="O46" s="11">
        <f t="shared" si="3"/>
        <v>0</v>
      </c>
      <c r="P46" s="146">
        <f t="shared" si="4"/>
        <v>108</v>
      </c>
    </row>
    <row r="47" spans="1:16" hidden="1" x14ac:dyDescent="0.25">
      <c r="A47" s="23" t="s">
        <v>592</v>
      </c>
      <c r="B47" s="86">
        <v>46036</v>
      </c>
      <c r="C47" s="22" t="s">
        <v>593</v>
      </c>
      <c r="D47" s="23" t="s">
        <v>13</v>
      </c>
      <c r="E47" s="99">
        <v>4779</v>
      </c>
      <c r="F47" s="99"/>
      <c r="G47" s="99"/>
      <c r="H47" s="67"/>
      <c r="I47" s="145">
        <f t="shared" si="0"/>
        <v>4779</v>
      </c>
      <c r="J47" s="17" t="s">
        <v>12</v>
      </c>
      <c r="K47" s="106">
        <v>2</v>
      </c>
      <c r="L47" s="80" t="s">
        <v>26</v>
      </c>
      <c r="M47" s="11">
        <f t="shared" si="2"/>
        <v>729</v>
      </c>
      <c r="N47" s="146"/>
      <c r="O47" s="11">
        <f t="shared" si="3"/>
        <v>0</v>
      </c>
      <c r="P47" s="146">
        <f t="shared" si="4"/>
        <v>729</v>
      </c>
    </row>
    <row r="48" spans="1:16" hidden="1" x14ac:dyDescent="0.25">
      <c r="A48" s="23" t="s">
        <v>592</v>
      </c>
      <c r="B48" s="86">
        <v>46036</v>
      </c>
      <c r="C48" s="22" t="s">
        <v>594</v>
      </c>
      <c r="D48" s="23" t="s">
        <v>281</v>
      </c>
      <c r="E48" s="99">
        <v>1888</v>
      </c>
      <c r="F48" s="99"/>
      <c r="G48" s="99"/>
      <c r="H48" s="67"/>
      <c r="I48" s="145">
        <f t="shared" si="0"/>
        <v>1888</v>
      </c>
      <c r="J48" s="17" t="s">
        <v>12</v>
      </c>
      <c r="K48" s="106">
        <v>2</v>
      </c>
      <c r="L48" s="80" t="s">
        <v>24</v>
      </c>
      <c r="M48" s="11">
        <f t="shared" si="2"/>
        <v>288</v>
      </c>
      <c r="N48" s="146"/>
      <c r="O48" s="11">
        <f t="shared" si="3"/>
        <v>0</v>
      </c>
      <c r="P48" s="146">
        <f t="shared" si="4"/>
        <v>288</v>
      </c>
    </row>
    <row r="49" spans="1:16" hidden="1" x14ac:dyDescent="0.25">
      <c r="A49" s="23" t="s">
        <v>592</v>
      </c>
      <c r="B49" s="86">
        <v>46036</v>
      </c>
      <c r="C49" s="22" t="s">
        <v>594</v>
      </c>
      <c r="D49" s="23" t="s">
        <v>13</v>
      </c>
      <c r="E49" s="99">
        <v>12744</v>
      </c>
      <c r="F49" s="99"/>
      <c r="G49" s="99"/>
      <c r="H49" s="67"/>
      <c r="I49" s="145">
        <f t="shared" si="0"/>
        <v>12744</v>
      </c>
      <c r="J49" s="17" t="s">
        <v>12</v>
      </c>
      <c r="K49" s="106">
        <v>2</v>
      </c>
      <c r="L49" s="80" t="s">
        <v>24</v>
      </c>
      <c r="M49" s="11">
        <f t="shared" si="2"/>
        <v>1944</v>
      </c>
      <c r="N49" s="146"/>
      <c r="O49" s="11">
        <f t="shared" si="3"/>
        <v>0</v>
      </c>
      <c r="P49" s="146">
        <f t="shared" si="4"/>
        <v>1944</v>
      </c>
    </row>
    <row r="50" spans="1:16" hidden="1" x14ac:dyDescent="0.25">
      <c r="A50" s="23" t="s">
        <v>592</v>
      </c>
      <c r="B50" s="86">
        <v>46036</v>
      </c>
      <c r="C50" s="22" t="s">
        <v>595</v>
      </c>
      <c r="D50" s="23" t="s">
        <v>281</v>
      </c>
      <c r="E50" s="99">
        <v>2124</v>
      </c>
      <c r="F50" s="99"/>
      <c r="G50" s="99"/>
      <c r="H50" s="67"/>
      <c r="I50" s="145">
        <f t="shared" si="0"/>
        <v>2124</v>
      </c>
      <c r="J50" s="17" t="s">
        <v>12</v>
      </c>
      <c r="K50" s="106">
        <v>2</v>
      </c>
      <c r="L50" s="80" t="s">
        <v>24</v>
      </c>
      <c r="M50" s="11">
        <f t="shared" si="2"/>
        <v>324</v>
      </c>
      <c r="N50" s="11"/>
      <c r="O50" s="11">
        <f t="shared" si="3"/>
        <v>0</v>
      </c>
      <c r="P50" s="146">
        <f t="shared" si="4"/>
        <v>324</v>
      </c>
    </row>
    <row r="51" spans="1:16" hidden="1" x14ac:dyDescent="0.25">
      <c r="A51" s="23" t="s">
        <v>592</v>
      </c>
      <c r="B51" s="86">
        <v>46036</v>
      </c>
      <c r="C51" s="22" t="s">
        <v>595</v>
      </c>
      <c r="D51" s="23" t="s">
        <v>13</v>
      </c>
      <c r="E51" s="99">
        <v>14337</v>
      </c>
      <c r="F51" s="99"/>
      <c r="G51" s="99"/>
      <c r="H51" s="67"/>
      <c r="I51" s="145">
        <f t="shared" si="0"/>
        <v>14337</v>
      </c>
      <c r="J51" s="17" t="s">
        <v>12</v>
      </c>
      <c r="K51" s="106">
        <v>2</v>
      </c>
      <c r="L51" s="80" t="s">
        <v>24</v>
      </c>
      <c r="M51" s="11">
        <f t="shared" si="2"/>
        <v>2187</v>
      </c>
      <c r="N51" s="11"/>
      <c r="O51" s="11">
        <f t="shared" si="3"/>
        <v>0</v>
      </c>
      <c r="P51" s="146">
        <f t="shared" si="4"/>
        <v>2187</v>
      </c>
    </row>
    <row r="52" spans="1:16" hidden="1" x14ac:dyDescent="0.25">
      <c r="A52" s="23" t="s">
        <v>116</v>
      </c>
      <c r="B52" s="86">
        <v>46036</v>
      </c>
      <c r="C52" s="22" t="s">
        <v>596</v>
      </c>
      <c r="D52" s="23" t="s">
        <v>7</v>
      </c>
      <c r="E52" s="99">
        <v>15399</v>
      </c>
      <c r="F52" s="99"/>
      <c r="G52" s="99"/>
      <c r="H52" s="67"/>
      <c r="I52" s="145">
        <f t="shared" si="0"/>
        <v>15399</v>
      </c>
      <c r="J52" s="17" t="s">
        <v>12</v>
      </c>
      <c r="K52" s="106">
        <v>2</v>
      </c>
      <c r="L52" s="80" t="s">
        <v>24</v>
      </c>
      <c r="M52" s="11">
        <f t="shared" si="2"/>
        <v>2349</v>
      </c>
      <c r="N52" s="146"/>
      <c r="O52" s="11">
        <f t="shared" si="3"/>
        <v>0</v>
      </c>
      <c r="P52" s="146">
        <f t="shared" si="4"/>
        <v>2349</v>
      </c>
    </row>
    <row r="53" spans="1:16" hidden="1" x14ac:dyDescent="0.25">
      <c r="A53" s="23" t="s">
        <v>60</v>
      </c>
      <c r="B53" s="86">
        <v>46036</v>
      </c>
      <c r="C53" s="22" t="s">
        <v>597</v>
      </c>
      <c r="D53" s="23" t="s">
        <v>7</v>
      </c>
      <c r="E53" s="99">
        <v>34990</v>
      </c>
      <c r="F53" s="99"/>
      <c r="G53" s="99"/>
      <c r="H53" s="67"/>
      <c r="I53" s="145">
        <f t="shared" si="0"/>
        <v>34990</v>
      </c>
      <c r="J53" s="17" t="s">
        <v>12</v>
      </c>
      <c r="K53" s="106">
        <v>2</v>
      </c>
      <c r="L53" s="80" t="s">
        <v>24</v>
      </c>
      <c r="M53" s="11">
        <f t="shared" si="2"/>
        <v>5337.46</v>
      </c>
      <c r="N53" s="11"/>
      <c r="O53" s="11">
        <f t="shared" si="3"/>
        <v>0</v>
      </c>
      <c r="P53" s="146">
        <f t="shared" si="4"/>
        <v>5337.46</v>
      </c>
    </row>
    <row r="54" spans="1:16" hidden="1" x14ac:dyDescent="0.25">
      <c r="A54" s="23" t="s">
        <v>162</v>
      </c>
      <c r="B54" s="86">
        <v>46036</v>
      </c>
      <c r="C54" s="22" t="s">
        <v>598</v>
      </c>
      <c r="D54" s="23" t="s">
        <v>7</v>
      </c>
      <c r="E54" s="99">
        <v>16845</v>
      </c>
      <c r="F54" s="99"/>
      <c r="G54" s="99"/>
      <c r="H54" s="67"/>
      <c r="I54" s="145">
        <f t="shared" si="0"/>
        <v>16845</v>
      </c>
      <c r="J54" s="17" t="s">
        <v>12</v>
      </c>
      <c r="K54" s="106">
        <v>2</v>
      </c>
      <c r="L54" s="80" t="s">
        <v>25</v>
      </c>
      <c r="M54" s="11">
        <f t="shared" si="2"/>
        <v>2569.58</v>
      </c>
      <c r="N54" s="11"/>
      <c r="O54" s="11">
        <f t="shared" si="3"/>
        <v>0</v>
      </c>
      <c r="P54" s="146">
        <f t="shared" si="4"/>
        <v>2569.58</v>
      </c>
    </row>
    <row r="55" spans="1:16" hidden="1" x14ac:dyDescent="0.25">
      <c r="A55" s="23" t="s">
        <v>145</v>
      </c>
      <c r="B55" s="86">
        <v>46036</v>
      </c>
      <c r="C55" s="22" t="s">
        <v>599</v>
      </c>
      <c r="D55" s="23" t="s">
        <v>7</v>
      </c>
      <c r="E55" s="99">
        <v>12662</v>
      </c>
      <c r="F55" s="99"/>
      <c r="G55" s="99"/>
      <c r="H55" s="67"/>
      <c r="I55" s="145">
        <f t="shared" si="0"/>
        <v>12662</v>
      </c>
      <c r="J55" s="17" t="s">
        <v>12</v>
      </c>
      <c r="K55" s="106">
        <v>2</v>
      </c>
      <c r="L55" s="80" t="s">
        <v>25</v>
      </c>
      <c r="M55" s="11">
        <f t="shared" si="2"/>
        <v>1931.49</v>
      </c>
      <c r="N55" s="11"/>
      <c r="O55" s="11">
        <f t="shared" si="3"/>
        <v>0</v>
      </c>
      <c r="P55" s="146">
        <f t="shared" si="4"/>
        <v>1931.49</v>
      </c>
    </row>
    <row r="56" spans="1:16" hidden="1" x14ac:dyDescent="0.25">
      <c r="A56" s="23" t="s">
        <v>514</v>
      </c>
      <c r="B56" s="86">
        <v>46036</v>
      </c>
      <c r="C56" s="22" t="s">
        <v>600</v>
      </c>
      <c r="D56" s="23" t="s">
        <v>7</v>
      </c>
      <c r="E56" s="99">
        <v>27357</v>
      </c>
      <c r="F56" s="99"/>
      <c r="G56" s="99"/>
      <c r="H56" s="67"/>
      <c r="I56" s="145">
        <f t="shared" si="0"/>
        <v>27357</v>
      </c>
      <c r="J56" s="17" t="s">
        <v>12</v>
      </c>
      <c r="K56" s="106">
        <v>2</v>
      </c>
      <c r="L56" s="80" t="s">
        <v>24</v>
      </c>
      <c r="M56" s="11">
        <f t="shared" si="2"/>
        <v>4173.1000000000004</v>
      </c>
      <c r="N56" s="11">
        <v>19269.59</v>
      </c>
      <c r="O56" s="11">
        <f t="shared" si="3"/>
        <v>3468.5261999999998</v>
      </c>
      <c r="P56" s="146">
        <f t="shared" si="4"/>
        <v>704.57380000000057</v>
      </c>
    </row>
    <row r="57" spans="1:16" hidden="1" x14ac:dyDescent="0.25">
      <c r="A57" s="23" t="s">
        <v>19</v>
      </c>
      <c r="B57" s="86">
        <v>46036</v>
      </c>
      <c r="C57" s="22" t="s">
        <v>601</v>
      </c>
      <c r="D57" s="23" t="s">
        <v>7</v>
      </c>
      <c r="E57" s="99">
        <v>6328</v>
      </c>
      <c r="F57" s="99"/>
      <c r="G57" s="99"/>
      <c r="H57" s="67"/>
      <c r="I57" s="145">
        <f t="shared" si="0"/>
        <v>6328</v>
      </c>
      <c r="J57" s="17" t="s">
        <v>12</v>
      </c>
      <c r="K57" s="106">
        <v>2</v>
      </c>
      <c r="L57" s="80" t="s">
        <v>25</v>
      </c>
      <c r="M57" s="11">
        <f t="shared" si="2"/>
        <v>965.29</v>
      </c>
      <c r="N57" s="11"/>
      <c r="O57" s="11">
        <f t="shared" si="3"/>
        <v>0</v>
      </c>
      <c r="P57" s="146">
        <f t="shared" si="4"/>
        <v>965.29</v>
      </c>
    </row>
    <row r="58" spans="1:16" hidden="1" x14ac:dyDescent="0.25">
      <c r="A58" s="23" t="s">
        <v>29</v>
      </c>
      <c r="B58" s="86">
        <v>46036</v>
      </c>
      <c r="C58" s="22" t="s">
        <v>602</v>
      </c>
      <c r="D58" s="23" t="s">
        <v>7</v>
      </c>
      <c r="E58" s="99">
        <v>17906</v>
      </c>
      <c r="F58" s="99"/>
      <c r="G58" s="99"/>
      <c r="H58" s="67"/>
      <c r="I58" s="145">
        <f t="shared" si="0"/>
        <v>17906</v>
      </c>
      <c r="J58" s="17" t="s">
        <v>12</v>
      </c>
      <c r="K58" s="106">
        <v>2</v>
      </c>
      <c r="L58" s="80" t="s">
        <v>26</v>
      </c>
      <c r="M58" s="11">
        <f t="shared" si="2"/>
        <v>2731.42</v>
      </c>
      <c r="N58" s="11"/>
      <c r="O58" s="11">
        <f t="shared" si="3"/>
        <v>0</v>
      </c>
      <c r="P58" s="146">
        <f t="shared" si="4"/>
        <v>2731.42</v>
      </c>
    </row>
    <row r="59" spans="1:16" hidden="1" x14ac:dyDescent="0.25">
      <c r="A59" s="23" t="s">
        <v>603</v>
      </c>
      <c r="B59" s="86">
        <v>46037</v>
      </c>
      <c r="C59" s="22" t="s">
        <v>604</v>
      </c>
      <c r="D59" s="23" t="s">
        <v>184</v>
      </c>
      <c r="E59" s="99">
        <v>5310</v>
      </c>
      <c r="F59" s="99"/>
      <c r="G59" s="99"/>
      <c r="H59" s="67"/>
      <c r="I59" s="145">
        <f t="shared" si="0"/>
        <v>5310</v>
      </c>
      <c r="J59" s="17" t="s">
        <v>12</v>
      </c>
      <c r="K59" s="106">
        <v>1</v>
      </c>
      <c r="L59" s="80" t="s">
        <v>24</v>
      </c>
      <c r="M59" s="11">
        <f t="shared" si="2"/>
        <v>810</v>
      </c>
      <c r="N59" s="11"/>
      <c r="O59" s="11">
        <f t="shared" si="3"/>
        <v>0</v>
      </c>
      <c r="P59" s="146">
        <f t="shared" si="4"/>
        <v>810</v>
      </c>
    </row>
    <row r="60" spans="1:16" hidden="1" x14ac:dyDescent="0.25">
      <c r="A60" s="23" t="s">
        <v>643</v>
      </c>
      <c r="B60" s="86">
        <v>46044</v>
      </c>
      <c r="C60" s="22" t="s">
        <v>644</v>
      </c>
      <c r="D60" s="23" t="s">
        <v>184</v>
      </c>
      <c r="E60" s="99"/>
      <c r="F60" s="99">
        <v>5310</v>
      </c>
      <c r="G60" s="99"/>
      <c r="H60" s="67"/>
      <c r="I60" s="145">
        <f t="shared" si="0"/>
        <v>5310</v>
      </c>
      <c r="J60" s="17" t="s">
        <v>12</v>
      </c>
      <c r="K60" s="106"/>
      <c r="L60" s="80" t="s">
        <v>24</v>
      </c>
      <c r="M60" s="11">
        <f t="shared" si="2"/>
        <v>810</v>
      </c>
      <c r="N60" s="11"/>
      <c r="O60" s="11">
        <f t="shared" si="3"/>
        <v>0</v>
      </c>
      <c r="P60" s="146">
        <f t="shared" si="4"/>
        <v>810</v>
      </c>
    </row>
    <row r="61" spans="1:16" hidden="1" x14ac:dyDescent="0.25">
      <c r="A61" s="17" t="s">
        <v>371</v>
      </c>
      <c r="B61" s="88">
        <v>45940</v>
      </c>
      <c r="C61" s="17" t="s">
        <v>427</v>
      </c>
      <c r="D61" s="17" t="s">
        <v>372</v>
      </c>
      <c r="E61" s="99">
        <v>0</v>
      </c>
      <c r="F61" s="99"/>
      <c r="G61" s="99"/>
      <c r="H61" s="99"/>
      <c r="I61" s="67">
        <f t="shared" si="0"/>
        <v>0</v>
      </c>
      <c r="J61" s="109" t="s">
        <v>301</v>
      </c>
      <c r="K61" s="106">
        <v>0</v>
      </c>
      <c r="L61" s="80" t="s">
        <v>24</v>
      </c>
      <c r="M61" s="11">
        <f t="shared" si="2"/>
        <v>0</v>
      </c>
      <c r="N61" s="146"/>
      <c r="O61" s="11">
        <f t="shared" si="3"/>
        <v>0</v>
      </c>
      <c r="P61" s="146">
        <f t="shared" si="4"/>
        <v>0</v>
      </c>
    </row>
    <row r="62" spans="1:16" x14ac:dyDescent="0.25">
      <c r="A62" s="17" t="s">
        <v>320</v>
      </c>
      <c r="B62" s="88">
        <v>46014</v>
      </c>
      <c r="C62" s="17" t="s">
        <v>556</v>
      </c>
      <c r="D62" s="23" t="s">
        <v>7</v>
      </c>
      <c r="E62" s="99">
        <v>435</v>
      </c>
      <c r="F62" s="99"/>
      <c r="G62" s="99"/>
      <c r="H62" s="99"/>
      <c r="I62" s="67">
        <f t="shared" si="0"/>
        <v>435</v>
      </c>
      <c r="J62" s="109" t="s">
        <v>301</v>
      </c>
      <c r="K62" s="106">
        <v>24</v>
      </c>
      <c r="L62" s="80" t="s">
        <v>24</v>
      </c>
      <c r="M62" s="11">
        <f t="shared" si="2"/>
        <v>66.36</v>
      </c>
      <c r="N62" s="11"/>
      <c r="O62" s="11">
        <f t="shared" si="3"/>
        <v>0</v>
      </c>
      <c r="P62" s="146">
        <f t="shared" si="4"/>
        <v>66.36</v>
      </c>
    </row>
    <row r="63" spans="1:16" x14ac:dyDescent="0.25">
      <c r="A63" s="17" t="s">
        <v>320</v>
      </c>
      <c r="B63" s="88">
        <v>46014</v>
      </c>
      <c r="C63" s="17" t="s">
        <v>557</v>
      </c>
      <c r="D63" s="23" t="s">
        <v>7</v>
      </c>
      <c r="E63" s="99">
        <v>4592</v>
      </c>
      <c r="F63" s="99"/>
      <c r="G63" s="99"/>
      <c r="H63" s="99"/>
      <c r="I63" s="67">
        <f t="shared" si="0"/>
        <v>4592</v>
      </c>
      <c r="J63" s="109" t="s">
        <v>301</v>
      </c>
      <c r="K63" s="106">
        <v>24</v>
      </c>
      <c r="L63" s="80" t="s">
        <v>26</v>
      </c>
      <c r="M63" s="11">
        <f t="shared" si="2"/>
        <v>700.47</v>
      </c>
      <c r="N63" s="11"/>
      <c r="O63" s="11">
        <f t="shared" si="3"/>
        <v>0</v>
      </c>
      <c r="P63" s="146">
        <f t="shared" si="4"/>
        <v>700.47</v>
      </c>
    </row>
    <row r="64" spans="1:16" x14ac:dyDescent="0.25">
      <c r="A64" s="17" t="s">
        <v>559</v>
      </c>
      <c r="B64" s="88">
        <v>46015</v>
      </c>
      <c r="C64" s="17" t="s">
        <v>558</v>
      </c>
      <c r="D64" s="23" t="s">
        <v>525</v>
      </c>
      <c r="E64" s="99">
        <v>8260</v>
      </c>
      <c r="F64" s="99"/>
      <c r="G64" s="99"/>
      <c r="H64" s="99"/>
      <c r="I64" s="67">
        <f t="shared" si="0"/>
        <v>8260</v>
      </c>
      <c r="J64" s="109" t="s">
        <v>301</v>
      </c>
      <c r="K64" s="106">
        <v>23</v>
      </c>
      <c r="L64" s="80" t="s">
        <v>25</v>
      </c>
      <c r="M64" s="11">
        <f t="shared" si="2"/>
        <v>1260</v>
      </c>
      <c r="N64" s="147"/>
      <c r="O64" s="11">
        <f t="shared" si="3"/>
        <v>0</v>
      </c>
      <c r="P64" s="146">
        <f t="shared" si="4"/>
        <v>1260</v>
      </c>
    </row>
    <row r="65" spans="1:16" hidden="1" x14ac:dyDescent="0.25">
      <c r="A65" s="17" t="s">
        <v>371</v>
      </c>
      <c r="B65" s="88">
        <v>46025</v>
      </c>
      <c r="C65" s="17" t="s">
        <v>576</v>
      </c>
      <c r="D65" s="23" t="s">
        <v>13</v>
      </c>
      <c r="E65" s="99">
        <v>1155</v>
      </c>
      <c r="F65" s="99"/>
      <c r="G65" s="99"/>
      <c r="H65" s="99"/>
      <c r="I65" s="67">
        <f t="shared" si="0"/>
        <v>1155</v>
      </c>
      <c r="J65" s="109" t="s">
        <v>301</v>
      </c>
      <c r="K65" s="106">
        <v>13</v>
      </c>
      <c r="L65" s="80" t="s">
        <v>24</v>
      </c>
      <c r="M65" s="11">
        <f t="shared" si="2"/>
        <v>176.19</v>
      </c>
      <c r="N65" s="146"/>
      <c r="O65" s="11">
        <f t="shared" si="3"/>
        <v>0</v>
      </c>
      <c r="P65" s="146">
        <f t="shared" si="4"/>
        <v>176.19</v>
      </c>
    </row>
    <row r="66" spans="1:16" hidden="1" x14ac:dyDescent="0.25">
      <c r="A66" s="17" t="s">
        <v>559</v>
      </c>
      <c r="B66" s="88">
        <v>46041</v>
      </c>
      <c r="C66" s="17" t="s">
        <v>628</v>
      </c>
      <c r="D66" s="23" t="s">
        <v>525</v>
      </c>
      <c r="E66" s="99"/>
      <c r="F66" s="99">
        <v>8260</v>
      </c>
      <c r="G66" s="99"/>
      <c r="H66" s="99"/>
      <c r="I66" s="67">
        <f t="shared" ref="I66:I129" si="5">+E66+F66-H66-G66</f>
        <v>8260</v>
      </c>
      <c r="J66" s="109" t="s">
        <v>301</v>
      </c>
      <c r="K66" s="106"/>
      <c r="L66" s="80" t="s">
        <v>24</v>
      </c>
      <c r="M66" s="11">
        <f t="shared" si="2"/>
        <v>1260</v>
      </c>
      <c r="N66" s="11"/>
      <c r="O66" s="11">
        <f t="shared" si="3"/>
        <v>0</v>
      </c>
      <c r="P66" s="146">
        <f t="shared" si="4"/>
        <v>1260</v>
      </c>
    </row>
    <row r="67" spans="1:16" x14ac:dyDescent="0.25">
      <c r="A67" s="22" t="s">
        <v>227</v>
      </c>
      <c r="B67" s="86">
        <v>45947</v>
      </c>
      <c r="C67" s="22" t="s">
        <v>452</v>
      </c>
      <c r="D67" s="23" t="s">
        <v>41</v>
      </c>
      <c r="E67" s="99">
        <v>491</v>
      </c>
      <c r="F67" s="99"/>
      <c r="G67" s="99"/>
      <c r="H67" s="67"/>
      <c r="I67" s="67">
        <f t="shared" si="5"/>
        <v>491</v>
      </c>
      <c r="J67" s="17" t="s">
        <v>9</v>
      </c>
      <c r="K67" s="107">
        <v>91</v>
      </c>
      <c r="L67" s="80" t="s">
        <v>24</v>
      </c>
      <c r="M67" s="11">
        <f t="shared" ref="M67:M130" si="6">ROUND(I67*18/118,2)</f>
        <v>74.900000000000006</v>
      </c>
      <c r="N67" s="11"/>
      <c r="O67" s="11">
        <f t="shared" ref="O67:O130" si="7">+N67*18%</f>
        <v>0</v>
      </c>
      <c r="P67" s="146">
        <f t="shared" si="4"/>
        <v>74.900000000000006</v>
      </c>
    </row>
    <row r="68" spans="1:16" x14ac:dyDescent="0.25">
      <c r="A68" s="22" t="s">
        <v>214</v>
      </c>
      <c r="B68" s="86">
        <v>45982</v>
      </c>
      <c r="C68" s="22" t="s">
        <v>483</v>
      </c>
      <c r="D68" s="23" t="s">
        <v>7</v>
      </c>
      <c r="E68" s="99">
        <v>14160</v>
      </c>
      <c r="F68" s="99"/>
      <c r="G68" s="99"/>
      <c r="H68" s="67"/>
      <c r="I68" s="67">
        <f t="shared" si="5"/>
        <v>14160</v>
      </c>
      <c r="J68" s="17" t="s">
        <v>9</v>
      </c>
      <c r="K68" s="107">
        <v>56</v>
      </c>
      <c r="L68" s="80" t="s">
        <v>24</v>
      </c>
      <c r="M68" s="11">
        <f t="shared" si="6"/>
        <v>2160</v>
      </c>
      <c r="N68" s="11"/>
      <c r="O68" s="11">
        <f t="shared" si="7"/>
        <v>0</v>
      </c>
      <c r="P68" s="146">
        <f t="shared" ref="P68:P131" si="8">+M68-O68</f>
        <v>2160</v>
      </c>
    </row>
    <row r="69" spans="1:16" x14ac:dyDescent="0.25">
      <c r="A69" s="22" t="s">
        <v>474</v>
      </c>
      <c r="B69" s="86">
        <v>46006</v>
      </c>
      <c r="C69" s="22" t="s">
        <v>522</v>
      </c>
      <c r="D69" s="23" t="s">
        <v>7</v>
      </c>
      <c r="E69" s="99">
        <v>50388</v>
      </c>
      <c r="F69" s="99"/>
      <c r="G69" s="99"/>
      <c r="H69" s="67"/>
      <c r="I69" s="67">
        <f t="shared" si="5"/>
        <v>50388</v>
      </c>
      <c r="J69" s="17" t="s">
        <v>9</v>
      </c>
      <c r="K69" s="107">
        <v>32</v>
      </c>
      <c r="L69" s="80" t="s">
        <v>24</v>
      </c>
      <c r="M69" s="11">
        <f t="shared" si="6"/>
        <v>7686.31</v>
      </c>
      <c r="N69" s="11"/>
      <c r="O69" s="11">
        <f t="shared" si="7"/>
        <v>0</v>
      </c>
      <c r="P69" s="146">
        <f t="shared" si="8"/>
        <v>7686.31</v>
      </c>
    </row>
    <row r="70" spans="1:16" x14ac:dyDescent="0.25">
      <c r="A70" s="22" t="s">
        <v>20</v>
      </c>
      <c r="B70" s="86">
        <v>46009</v>
      </c>
      <c r="C70" s="22" t="s">
        <v>538</v>
      </c>
      <c r="D70" s="23" t="s">
        <v>7</v>
      </c>
      <c r="E70" s="99">
        <v>5089</v>
      </c>
      <c r="F70" s="99"/>
      <c r="G70" s="99"/>
      <c r="H70" s="67"/>
      <c r="I70" s="67">
        <f t="shared" si="5"/>
        <v>5089</v>
      </c>
      <c r="J70" s="17" t="s">
        <v>9</v>
      </c>
      <c r="K70" s="107">
        <v>29</v>
      </c>
      <c r="L70" s="80" t="s">
        <v>24</v>
      </c>
      <c r="M70" s="11">
        <f t="shared" si="6"/>
        <v>776.29</v>
      </c>
      <c r="N70" s="11"/>
      <c r="O70" s="11">
        <f t="shared" si="7"/>
        <v>0</v>
      </c>
      <c r="P70" s="146">
        <f t="shared" si="8"/>
        <v>776.29</v>
      </c>
    </row>
    <row r="71" spans="1:16" x14ac:dyDescent="0.25">
      <c r="A71" s="22" t="s">
        <v>474</v>
      </c>
      <c r="B71" s="86">
        <v>46010</v>
      </c>
      <c r="C71" s="22" t="s">
        <v>545</v>
      </c>
      <c r="D71" s="23" t="s">
        <v>22</v>
      </c>
      <c r="E71" s="99">
        <v>59377</v>
      </c>
      <c r="F71" s="99"/>
      <c r="G71" s="99"/>
      <c r="H71" s="67"/>
      <c r="I71" s="67">
        <f t="shared" si="5"/>
        <v>59377</v>
      </c>
      <c r="J71" s="17" t="s">
        <v>9</v>
      </c>
      <c r="K71" s="107">
        <v>28</v>
      </c>
      <c r="L71" s="80" t="s">
        <v>24</v>
      </c>
      <c r="M71" s="11">
        <f t="shared" si="6"/>
        <v>9057.51</v>
      </c>
      <c r="N71" s="146"/>
      <c r="O71" s="11">
        <f t="shared" si="7"/>
        <v>0</v>
      </c>
      <c r="P71" s="146">
        <f t="shared" si="8"/>
        <v>9057.51</v>
      </c>
    </row>
    <row r="72" spans="1:16" hidden="1" x14ac:dyDescent="0.25">
      <c r="A72" s="22" t="s">
        <v>563</v>
      </c>
      <c r="B72" s="86">
        <v>46024</v>
      </c>
      <c r="C72" s="22" t="s">
        <v>564</v>
      </c>
      <c r="D72" s="23" t="s">
        <v>184</v>
      </c>
      <c r="E72" s="99">
        <v>5310</v>
      </c>
      <c r="F72" s="99"/>
      <c r="G72" s="99"/>
      <c r="H72" s="67"/>
      <c r="I72" s="67">
        <f t="shared" si="5"/>
        <v>5310</v>
      </c>
      <c r="J72" s="17" t="s">
        <v>9</v>
      </c>
      <c r="K72" s="107">
        <v>14</v>
      </c>
      <c r="L72" s="80" t="s">
        <v>24</v>
      </c>
      <c r="M72" s="11">
        <f t="shared" si="6"/>
        <v>810</v>
      </c>
      <c r="N72" s="11"/>
      <c r="O72" s="11">
        <f t="shared" si="7"/>
        <v>0</v>
      </c>
      <c r="P72" s="146">
        <f t="shared" si="8"/>
        <v>810</v>
      </c>
    </row>
    <row r="73" spans="1:16" hidden="1" x14ac:dyDescent="0.25">
      <c r="A73" s="22" t="s">
        <v>577</v>
      </c>
      <c r="B73" s="86">
        <v>46025</v>
      </c>
      <c r="C73" s="22" t="s">
        <v>578</v>
      </c>
      <c r="D73" s="23" t="s">
        <v>11</v>
      </c>
      <c r="E73" s="99">
        <v>0</v>
      </c>
      <c r="F73" s="99"/>
      <c r="G73" s="99"/>
      <c r="H73" s="67"/>
      <c r="I73" s="67">
        <f t="shared" si="5"/>
        <v>0</v>
      </c>
      <c r="J73" s="17" t="s">
        <v>9</v>
      </c>
      <c r="K73" s="107">
        <v>0</v>
      </c>
      <c r="L73" s="80" t="s">
        <v>24</v>
      </c>
      <c r="M73" s="11">
        <f t="shared" si="6"/>
        <v>0</v>
      </c>
      <c r="N73" s="11"/>
      <c r="O73" s="11">
        <f t="shared" si="7"/>
        <v>0</v>
      </c>
      <c r="P73" s="146">
        <f t="shared" si="8"/>
        <v>0</v>
      </c>
    </row>
    <row r="74" spans="1:16" hidden="1" x14ac:dyDescent="0.25">
      <c r="A74" s="22" t="s">
        <v>605</v>
      </c>
      <c r="B74" s="86">
        <v>46035</v>
      </c>
      <c r="C74" s="22" t="s">
        <v>606</v>
      </c>
      <c r="D74" s="23" t="s">
        <v>184</v>
      </c>
      <c r="E74" s="99">
        <v>0</v>
      </c>
      <c r="F74" s="99"/>
      <c r="G74" s="99"/>
      <c r="H74" s="67"/>
      <c r="I74" s="67">
        <f t="shared" si="5"/>
        <v>0</v>
      </c>
      <c r="J74" s="17" t="s">
        <v>9</v>
      </c>
      <c r="K74" s="107">
        <v>0</v>
      </c>
      <c r="L74" s="80" t="s">
        <v>24</v>
      </c>
      <c r="M74" s="11">
        <f t="shared" si="6"/>
        <v>0</v>
      </c>
      <c r="N74" s="11"/>
      <c r="O74" s="11">
        <f t="shared" si="7"/>
        <v>0</v>
      </c>
      <c r="P74" s="146">
        <f t="shared" si="8"/>
        <v>0</v>
      </c>
    </row>
    <row r="75" spans="1:16" hidden="1" x14ac:dyDescent="0.25">
      <c r="A75" s="22" t="s">
        <v>474</v>
      </c>
      <c r="B75" s="86">
        <v>46036</v>
      </c>
      <c r="C75" s="22" t="s">
        <v>607</v>
      </c>
      <c r="D75" s="23" t="s">
        <v>7</v>
      </c>
      <c r="E75" s="99">
        <v>14896</v>
      </c>
      <c r="F75" s="99"/>
      <c r="G75" s="99"/>
      <c r="H75" s="67"/>
      <c r="I75" s="67">
        <f t="shared" si="5"/>
        <v>14896</v>
      </c>
      <c r="J75" s="17" t="s">
        <v>9</v>
      </c>
      <c r="K75" s="107">
        <v>2</v>
      </c>
      <c r="L75" s="80" t="s">
        <v>24</v>
      </c>
      <c r="M75" s="11">
        <f t="shared" si="6"/>
        <v>2272.27</v>
      </c>
      <c r="N75" s="11"/>
      <c r="O75" s="11">
        <f t="shared" si="7"/>
        <v>0</v>
      </c>
      <c r="P75" s="146">
        <f t="shared" si="8"/>
        <v>2272.27</v>
      </c>
    </row>
    <row r="76" spans="1:16" hidden="1" x14ac:dyDescent="0.25">
      <c r="A76" s="22" t="s">
        <v>164</v>
      </c>
      <c r="B76" s="86">
        <v>46041</v>
      </c>
      <c r="C76" s="22" t="s">
        <v>635</v>
      </c>
      <c r="D76" s="23" t="s">
        <v>7</v>
      </c>
      <c r="E76" s="99"/>
      <c r="F76" s="99">
        <v>20239</v>
      </c>
      <c r="G76" s="99"/>
      <c r="H76" s="67"/>
      <c r="I76" s="67">
        <f t="shared" si="5"/>
        <v>20239</v>
      </c>
      <c r="J76" s="17" t="s">
        <v>9</v>
      </c>
      <c r="K76" s="107"/>
      <c r="L76" s="80" t="s">
        <v>25</v>
      </c>
      <c r="M76" s="11">
        <f t="shared" si="6"/>
        <v>3087.31</v>
      </c>
      <c r="N76" s="11"/>
      <c r="O76" s="11">
        <f t="shared" si="7"/>
        <v>0</v>
      </c>
      <c r="P76" s="146">
        <f t="shared" si="8"/>
        <v>3087.31</v>
      </c>
    </row>
    <row r="77" spans="1:16" x14ac:dyDescent="0.25">
      <c r="A77" s="17" t="s">
        <v>218</v>
      </c>
      <c r="B77" s="88">
        <v>45861</v>
      </c>
      <c r="C77" s="17" t="s">
        <v>219</v>
      </c>
      <c r="D77" s="104" t="s">
        <v>16</v>
      </c>
      <c r="E77" s="99">
        <v>98530</v>
      </c>
      <c r="F77" s="99"/>
      <c r="G77" s="99"/>
      <c r="H77" s="67"/>
      <c r="I77" s="67">
        <f t="shared" si="5"/>
        <v>98530</v>
      </c>
      <c r="J77" s="17" t="s">
        <v>6</v>
      </c>
      <c r="K77" s="132">
        <v>177</v>
      </c>
      <c r="L77" s="80" t="s">
        <v>24</v>
      </c>
      <c r="M77" s="11">
        <f t="shared" si="6"/>
        <v>15030</v>
      </c>
      <c r="N77" s="146"/>
      <c r="O77" s="11">
        <f t="shared" si="7"/>
        <v>0</v>
      </c>
      <c r="P77" s="146">
        <f t="shared" si="8"/>
        <v>15030</v>
      </c>
    </row>
    <row r="78" spans="1:16" x14ac:dyDescent="0.25">
      <c r="A78" s="17" t="s">
        <v>132</v>
      </c>
      <c r="B78" s="88">
        <v>45880</v>
      </c>
      <c r="C78" s="17" t="s">
        <v>251</v>
      </c>
      <c r="D78" s="104" t="s">
        <v>7</v>
      </c>
      <c r="E78" s="99">
        <v>91607</v>
      </c>
      <c r="F78" s="99"/>
      <c r="G78" s="99"/>
      <c r="H78" s="67"/>
      <c r="I78" s="67">
        <f t="shared" si="5"/>
        <v>91607</v>
      </c>
      <c r="J78" s="17" t="s">
        <v>6</v>
      </c>
      <c r="K78" s="132">
        <v>158</v>
      </c>
      <c r="L78" s="80" t="s">
        <v>24</v>
      </c>
      <c r="M78" s="11">
        <f t="shared" si="6"/>
        <v>13973.95</v>
      </c>
      <c r="N78" s="11"/>
      <c r="O78" s="11">
        <f t="shared" si="7"/>
        <v>0</v>
      </c>
      <c r="P78" s="146">
        <f t="shared" si="8"/>
        <v>13973.95</v>
      </c>
    </row>
    <row r="79" spans="1:16" x14ac:dyDescent="0.25">
      <c r="A79" s="17" t="s">
        <v>206</v>
      </c>
      <c r="B79" s="88">
        <v>45911</v>
      </c>
      <c r="C79" s="17" t="s">
        <v>317</v>
      </c>
      <c r="D79" s="104" t="s">
        <v>7</v>
      </c>
      <c r="E79" s="99">
        <v>46</v>
      </c>
      <c r="F79" s="99"/>
      <c r="G79" s="99"/>
      <c r="H79" s="67"/>
      <c r="I79" s="67">
        <f t="shared" si="5"/>
        <v>46</v>
      </c>
      <c r="J79" s="17" t="s">
        <v>6</v>
      </c>
      <c r="K79" s="132">
        <v>127</v>
      </c>
      <c r="L79" s="80" t="s">
        <v>24</v>
      </c>
      <c r="M79" s="11">
        <f t="shared" si="6"/>
        <v>7.02</v>
      </c>
      <c r="N79" s="146"/>
      <c r="O79" s="11">
        <f t="shared" si="7"/>
        <v>0</v>
      </c>
      <c r="P79" s="146">
        <f t="shared" si="8"/>
        <v>7.02</v>
      </c>
    </row>
    <row r="80" spans="1:16" x14ac:dyDescent="0.25">
      <c r="A80" s="17" t="s">
        <v>130</v>
      </c>
      <c r="B80" s="88">
        <v>45918</v>
      </c>
      <c r="C80" s="17" t="s">
        <v>346</v>
      </c>
      <c r="D80" s="104" t="s">
        <v>7</v>
      </c>
      <c r="E80" s="99">
        <v>94551</v>
      </c>
      <c r="F80" s="99"/>
      <c r="G80" s="99"/>
      <c r="H80" s="67"/>
      <c r="I80" s="67">
        <f t="shared" si="5"/>
        <v>94551</v>
      </c>
      <c r="J80" s="17" t="s">
        <v>6</v>
      </c>
      <c r="K80" s="132">
        <v>120</v>
      </c>
      <c r="L80" s="80" t="s">
        <v>24</v>
      </c>
      <c r="M80" s="11">
        <f t="shared" si="6"/>
        <v>14423.03</v>
      </c>
      <c r="N80" s="11"/>
      <c r="O80" s="11">
        <f t="shared" si="7"/>
        <v>0</v>
      </c>
      <c r="P80" s="146">
        <f t="shared" si="8"/>
        <v>14423.03</v>
      </c>
    </row>
    <row r="81" spans="1:16" x14ac:dyDescent="0.25">
      <c r="A81" s="17" t="s">
        <v>19</v>
      </c>
      <c r="B81" s="88">
        <v>45945</v>
      </c>
      <c r="C81" s="17" t="s">
        <v>445</v>
      </c>
      <c r="D81" s="104" t="s">
        <v>7</v>
      </c>
      <c r="E81" s="99">
        <v>2146</v>
      </c>
      <c r="F81" s="99"/>
      <c r="G81" s="99"/>
      <c r="H81" s="67"/>
      <c r="I81" s="67">
        <f t="shared" si="5"/>
        <v>2146</v>
      </c>
      <c r="J81" s="17" t="s">
        <v>6</v>
      </c>
      <c r="K81" s="132">
        <v>93</v>
      </c>
      <c r="L81" s="80" t="s">
        <v>24</v>
      </c>
      <c r="M81" s="11">
        <f t="shared" si="6"/>
        <v>327.36</v>
      </c>
      <c r="N81" s="11"/>
      <c r="O81" s="11">
        <f t="shared" si="7"/>
        <v>0</v>
      </c>
      <c r="P81" s="146">
        <f t="shared" si="8"/>
        <v>327.36</v>
      </c>
    </row>
    <row r="82" spans="1:16" x14ac:dyDescent="0.25">
      <c r="A82" s="17" t="s">
        <v>206</v>
      </c>
      <c r="B82" s="88">
        <v>45945</v>
      </c>
      <c r="C82" s="17" t="s">
        <v>446</v>
      </c>
      <c r="D82" s="104" t="s">
        <v>7</v>
      </c>
      <c r="E82" s="99">
        <v>4477</v>
      </c>
      <c r="F82" s="99"/>
      <c r="G82" s="99"/>
      <c r="H82" s="67"/>
      <c r="I82" s="67">
        <f t="shared" si="5"/>
        <v>4477</v>
      </c>
      <c r="J82" s="17" t="s">
        <v>6</v>
      </c>
      <c r="K82" s="132">
        <v>93</v>
      </c>
      <c r="L82" s="80" t="s">
        <v>26</v>
      </c>
      <c r="M82" s="11">
        <f t="shared" si="6"/>
        <v>682.93</v>
      </c>
      <c r="N82" s="11"/>
      <c r="O82" s="11">
        <f t="shared" si="7"/>
        <v>0</v>
      </c>
      <c r="P82" s="146">
        <f t="shared" si="8"/>
        <v>682.93</v>
      </c>
    </row>
    <row r="83" spans="1:16" x14ac:dyDescent="0.25">
      <c r="A83" s="17" t="s">
        <v>130</v>
      </c>
      <c r="B83" s="88">
        <v>45945</v>
      </c>
      <c r="C83" s="17" t="s">
        <v>447</v>
      </c>
      <c r="D83" s="104" t="s">
        <v>7</v>
      </c>
      <c r="E83" s="99">
        <v>19357</v>
      </c>
      <c r="F83" s="99"/>
      <c r="G83" s="99"/>
      <c r="H83" s="67"/>
      <c r="I83" s="67">
        <f t="shared" si="5"/>
        <v>19357</v>
      </c>
      <c r="J83" s="17" t="s">
        <v>6</v>
      </c>
      <c r="K83" s="132">
        <v>93</v>
      </c>
      <c r="L83" s="80" t="s">
        <v>25</v>
      </c>
      <c r="M83" s="11">
        <f t="shared" si="6"/>
        <v>2952.76</v>
      </c>
      <c r="N83" s="11"/>
      <c r="O83" s="11">
        <f t="shared" si="7"/>
        <v>0</v>
      </c>
      <c r="P83" s="146">
        <f t="shared" si="8"/>
        <v>2952.76</v>
      </c>
    </row>
    <row r="84" spans="1:16" x14ac:dyDescent="0.25">
      <c r="A84" s="17" t="s">
        <v>132</v>
      </c>
      <c r="B84" s="88">
        <v>45945</v>
      </c>
      <c r="C84" s="17" t="s">
        <v>448</v>
      </c>
      <c r="D84" s="104" t="s">
        <v>7</v>
      </c>
      <c r="E84" s="99">
        <v>22962</v>
      </c>
      <c r="F84" s="99"/>
      <c r="G84" s="99"/>
      <c r="H84" s="67"/>
      <c r="I84" s="67">
        <f t="shared" si="5"/>
        <v>22962</v>
      </c>
      <c r="J84" s="17" t="s">
        <v>6</v>
      </c>
      <c r="K84" s="132">
        <v>93</v>
      </c>
      <c r="L84" s="80" t="s">
        <v>25</v>
      </c>
      <c r="M84" s="11">
        <f t="shared" si="6"/>
        <v>3502.68</v>
      </c>
      <c r="N84" s="11"/>
      <c r="O84" s="11">
        <f t="shared" si="7"/>
        <v>0</v>
      </c>
      <c r="P84" s="146">
        <f t="shared" si="8"/>
        <v>3502.68</v>
      </c>
    </row>
    <row r="85" spans="1:16" x14ac:dyDescent="0.25">
      <c r="A85" s="17" t="s">
        <v>62</v>
      </c>
      <c r="B85" s="88">
        <v>45976</v>
      </c>
      <c r="C85" s="17" t="s">
        <v>475</v>
      </c>
      <c r="D85" s="104" t="s">
        <v>7</v>
      </c>
      <c r="E85" s="99">
        <v>14754</v>
      </c>
      <c r="F85" s="99"/>
      <c r="G85" s="99"/>
      <c r="H85" s="67"/>
      <c r="I85" s="67">
        <f t="shared" si="5"/>
        <v>14754</v>
      </c>
      <c r="J85" s="17" t="s">
        <v>6</v>
      </c>
      <c r="K85" s="133">
        <v>62</v>
      </c>
      <c r="L85" s="80" t="s">
        <v>24</v>
      </c>
      <c r="M85" s="11">
        <f t="shared" si="6"/>
        <v>2250.61</v>
      </c>
      <c r="N85" s="146"/>
      <c r="O85" s="11">
        <f t="shared" si="7"/>
        <v>0</v>
      </c>
      <c r="P85" s="146">
        <f t="shared" si="8"/>
        <v>2250.61</v>
      </c>
    </row>
    <row r="86" spans="1:16" x14ac:dyDescent="0.25">
      <c r="A86" s="17" t="s">
        <v>206</v>
      </c>
      <c r="B86" s="88">
        <v>45976</v>
      </c>
      <c r="C86" s="17" t="s">
        <v>476</v>
      </c>
      <c r="D86" s="104" t="s">
        <v>7</v>
      </c>
      <c r="E86" s="99">
        <v>5040</v>
      </c>
      <c r="F86" s="99"/>
      <c r="G86" s="99"/>
      <c r="H86" s="67"/>
      <c r="I86" s="67">
        <f t="shared" si="5"/>
        <v>5040</v>
      </c>
      <c r="J86" s="17" t="s">
        <v>6</v>
      </c>
      <c r="K86" s="133">
        <v>62</v>
      </c>
      <c r="L86" s="80" t="s">
        <v>24</v>
      </c>
      <c r="M86" s="11">
        <f t="shared" si="6"/>
        <v>768.81</v>
      </c>
      <c r="N86" s="11"/>
      <c r="O86" s="11">
        <f t="shared" si="7"/>
        <v>0</v>
      </c>
      <c r="P86" s="146">
        <f t="shared" si="8"/>
        <v>768.81</v>
      </c>
    </row>
    <row r="87" spans="1:16" x14ac:dyDescent="0.25">
      <c r="A87" s="17" t="s">
        <v>19</v>
      </c>
      <c r="B87" s="88">
        <v>46006</v>
      </c>
      <c r="C87" s="17" t="s">
        <v>523</v>
      </c>
      <c r="D87" s="104" t="s">
        <v>7</v>
      </c>
      <c r="E87" s="99">
        <v>5843</v>
      </c>
      <c r="F87" s="99"/>
      <c r="G87" s="99"/>
      <c r="H87" s="67"/>
      <c r="I87" s="67">
        <f t="shared" si="5"/>
        <v>5843</v>
      </c>
      <c r="J87" s="17" t="s">
        <v>6</v>
      </c>
      <c r="K87" s="133">
        <v>32</v>
      </c>
      <c r="L87" s="80" t="s">
        <v>24</v>
      </c>
      <c r="M87" s="11">
        <f t="shared" si="6"/>
        <v>891.31</v>
      </c>
      <c r="N87" s="146"/>
      <c r="O87" s="11">
        <f t="shared" si="7"/>
        <v>0</v>
      </c>
      <c r="P87" s="146">
        <f t="shared" si="8"/>
        <v>891.31</v>
      </c>
    </row>
    <row r="88" spans="1:16" x14ac:dyDescent="0.25">
      <c r="A88" s="17" t="s">
        <v>62</v>
      </c>
      <c r="B88" s="88">
        <v>46006</v>
      </c>
      <c r="C88" s="17" t="s">
        <v>524</v>
      </c>
      <c r="D88" s="104" t="s">
        <v>7</v>
      </c>
      <c r="E88" s="99">
        <v>16738</v>
      </c>
      <c r="F88" s="99"/>
      <c r="G88" s="99"/>
      <c r="H88" s="67"/>
      <c r="I88" s="67">
        <f t="shared" si="5"/>
        <v>16738</v>
      </c>
      <c r="J88" s="17" t="s">
        <v>6</v>
      </c>
      <c r="K88" s="133">
        <v>32</v>
      </c>
      <c r="L88" s="80" t="s">
        <v>24</v>
      </c>
      <c r="M88" s="11">
        <f t="shared" si="6"/>
        <v>2553.25</v>
      </c>
      <c r="N88" s="11"/>
      <c r="O88" s="11">
        <f t="shared" si="7"/>
        <v>0</v>
      </c>
      <c r="P88" s="146">
        <f t="shared" si="8"/>
        <v>2553.25</v>
      </c>
    </row>
    <row r="89" spans="1:16" x14ac:dyDescent="0.25">
      <c r="A89" s="17" t="s">
        <v>206</v>
      </c>
      <c r="B89" s="88">
        <v>46007</v>
      </c>
      <c r="C89" s="17" t="s">
        <v>535</v>
      </c>
      <c r="D89" s="104" t="s">
        <v>7</v>
      </c>
      <c r="E89" s="99">
        <v>4515</v>
      </c>
      <c r="F89" s="99"/>
      <c r="G89" s="99"/>
      <c r="H89" s="67"/>
      <c r="I89" s="67">
        <f t="shared" si="5"/>
        <v>4515</v>
      </c>
      <c r="J89" s="17" t="s">
        <v>6</v>
      </c>
      <c r="K89" s="133">
        <v>31</v>
      </c>
      <c r="L89" s="80" t="s">
        <v>25</v>
      </c>
      <c r="M89" s="11">
        <f t="shared" si="6"/>
        <v>688.73</v>
      </c>
      <c r="N89" s="11"/>
      <c r="O89" s="11">
        <f t="shared" si="7"/>
        <v>0</v>
      </c>
      <c r="P89" s="146">
        <f t="shared" si="8"/>
        <v>688.73</v>
      </c>
    </row>
    <row r="90" spans="1:16" hidden="1" x14ac:dyDescent="0.25">
      <c r="A90" s="17" t="s">
        <v>151</v>
      </c>
      <c r="B90" s="88">
        <v>46034</v>
      </c>
      <c r="C90" s="17" t="s">
        <v>608</v>
      </c>
      <c r="D90" s="104" t="s">
        <v>40</v>
      </c>
      <c r="E90" s="99">
        <v>541030</v>
      </c>
      <c r="F90" s="99"/>
      <c r="G90" s="99"/>
      <c r="H90" s="67"/>
      <c r="I90" s="67">
        <f t="shared" si="5"/>
        <v>541030</v>
      </c>
      <c r="J90" s="17" t="s">
        <v>6</v>
      </c>
      <c r="K90" s="133">
        <v>4</v>
      </c>
      <c r="L90" s="80" t="s">
        <v>25</v>
      </c>
      <c r="M90" s="11">
        <f t="shared" si="6"/>
        <v>82530</v>
      </c>
      <c r="N90" s="11"/>
      <c r="O90" s="11">
        <f t="shared" si="7"/>
        <v>0</v>
      </c>
      <c r="P90" s="146">
        <f t="shared" si="8"/>
        <v>82530</v>
      </c>
    </row>
    <row r="91" spans="1:16" hidden="1" x14ac:dyDescent="0.25">
      <c r="A91" s="17" t="s">
        <v>62</v>
      </c>
      <c r="B91" s="88">
        <v>46036</v>
      </c>
      <c r="C91" s="17" t="s">
        <v>609</v>
      </c>
      <c r="D91" s="104" t="s">
        <v>7</v>
      </c>
      <c r="E91" s="99">
        <v>14944</v>
      </c>
      <c r="F91" s="99"/>
      <c r="G91" s="99"/>
      <c r="H91" s="67"/>
      <c r="I91" s="67">
        <f t="shared" si="5"/>
        <v>14944</v>
      </c>
      <c r="J91" s="17" t="s">
        <v>6</v>
      </c>
      <c r="K91" s="133">
        <v>2</v>
      </c>
      <c r="L91" s="80" t="s">
        <v>26</v>
      </c>
      <c r="M91" s="11">
        <f t="shared" si="6"/>
        <v>2279.59</v>
      </c>
      <c r="N91" s="11"/>
      <c r="O91" s="11">
        <f t="shared" si="7"/>
        <v>0</v>
      </c>
      <c r="P91" s="146">
        <f t="shared" si="8"/>
        <v>2279.59</v>
      </c>
    </row>
    <row r="92" spans="1:16" hidden="1" x14ac:dyDescent="0.25">
      <c r="A92" s="17" t="s">
        <v>206</v>
      </c>
      <c r="B92" s="88">
        <v>46036</v>
      </c>
      <c r="C92" s="17" t="s">
        <v>610</v>
      </c>
      <c r="D92" s="104" t="s">
        <v>7</v>
      </c>
      <c r="E92" s="99">
        <v>4675</v>
      </c>
      <c r="F92" s="99"/>
      <c r="G92" s="99"/>
      <c r="H92" s="67"/>
      <c r="I92" s="67">
        <f t="shared" si="5"/>
        <v>4675</v>
      </c>
      <c r="J92" s="17" t="s">
        <v>6</v>
      </c>
      <c r="K92" s="133">
        <v>2</v>
      </c>
      <c r="L92" s="80" t="s">
        <v>24</v>
      </c>
      <c r="M92" s="11">
        <f t="shared" si="6"/>
        <v>713.14</v>
      </c>
      <c r="N92" s="146"/>
      <c r="O92" s="11">
        <f t="shared" si="7"/>
        <v>0</v>
      </c>
      <c r="P92" s="146">
        <f t="shared" si="8"/>
        <v>713.14</v>
      </c>
    </row>
    <row r="93" spans="1:16" hidden="1" x14ac:dyDescent="0.25">
      <c r="A93" s="17" t="s">
        <v>30</v>
      </c>
      <c r="B93" s="88">
        <v>46036</v>
      </c>
      <c r="C93" s="17" t="s">
        <v>611</v>
      </c>
      <c r="D93" s="104" t="s">
        <v>525</v>
      </c>
      <c r="E93" s="99">
        <v>23836</v>
      </c>
      <c r="F93" s="99"/>
      <c r="G93" s="99">
        <v>808</v>
      </c>
      <c r="H93" s="67">
        <v>23028</v>
      </c>
      <c r="I93" s="67">
        <f t="shared" si="5"/>
        <v>0</v>
      </c>
      <c r="J93" s="17" t="s">
        <v>6</v>
      </c>
      <c r="K93" s="133">
        <v>2</v>
      </c>
      <c r="L93" s="80" t="s">
        <v>24</v>
      </c>
      <c r="M93" s="11">
        <f t="shared" si="6"/>
        <v>0</v>
      </c>
      <c r="N93" s="146"/>
      <c r="O93" s="11">
        <f t="shared" si="7"/>
        <v>0</v>
      </c>
      <c r="P93" s="146">
        <f t="shared" si="8"/>
        <v>0</v>
      </c>
    </row>
    <row r="94" spans="1:16" hidden="1" x14ac:dyDescent="0.25">
      <c r="A94" s="17" t="s">
        <v>30</v>
      </c>
      <c r="B94" s="88">
        <v>46036</v>
      </c>
      <c r="C94" s="17" t="s">
        <v>611</v>
      </c>
      <c r="D94" s="104" t="s">
        <v>7</v>
      </c>
      <c r="E94" s="99">
        <v>27817</v>
      </c>
      <c r="F94" s="99"/>
      <c r="G94" s="99">
        <v>944</v>
      </c>
      <c r="H94" s="67">
        <v>26873</v>
      </c>
      <c r="I94" s="67">
        <f t="shared" si="5"/>
        <v>0</v>
      </c>
      <c r="J94" s="17" t="s">
        <v>6</v>
      </c>
      <c r="K94" s="133">
        <v>2</v>
      </c>
      <c r="L94" s="80" t="s">
        <v>24</v>
      </c>
      <c r="M94" s="11">
        <f t="shared" si="6"/>
        <v>0</v>
      </c>
      <c r="N94" s="11"/>
      <c r="O94" s="11">
        <f t="shared" si="7"/>
        <v>0</v>
      </c>
      <c r="P94" s="146">
        <f t="shared" si="8"/>
        <v>0</v>
      </c>
    </row>
    <row r="95" spans="1:16" hidden="1" x14ac:dyDescent="0.25">
      <c r="A95" s="17" t="s">
        <v>14</v>
      </c>
      <c r="B95" s="88">
        <v>46036</v>
      </c>
      <c r="C95" s="17" t="s">
        <v>612</v>
      </c>
      <c r="D95" s="104" t="s">
        <v>7</v>
      </c>
      <c r="E95" s="99">
        <v>10928</v>
      </c>
      <c r="F95" s="99"/>
      <c r="G95" s="99"/>
      <c r="H95" s="67"/>
      <c r="I95" s="67">
        <f t="shared" si="5"/>
        <v>10928</v>
      </c>
      <c r="J95" s="17" t="s">
        <v>6</v>
      </c>
      <c r="K95" s="133">
        <v>2</v>
      </c>
      <c r="L95" s="80" t="s">
        <v>25</v>
      </c>
      <c r="M95" s="11">
        <f t="shared" si="6"/>
        <v>1666.98</v>
      </c>
      <c r="N95" s="11"/>
      <c r="O95" s="11">
        <f t="shared" si="7"/>
        <v>0</v>
      </c>
      <c r="P95" s="146">
        <f t="shared" si="8"/>
        <v>1666.98</v>
      </c>
    </row>
    <row r="96" spans="1:16" hidden="1" x14ac:dyDescent="0.25">
      <c r="A96" s="17" t="s">
        <v>536</v>
      </c>
      <c r="B96" s="88">
        <v>46041</v>
      </c>
      <c r="C96" s="17" t="s">
        <v>636</v>
      </c>
      <c r="D96" s="104" t="s">
        <v>7</v>
      </c>
      <c r="E96" s="99"/>
      <c r="F96" s="99">
        <v>42078</v>
      </c>
      <c r="G96" s="99">
        <v>1427</v>
      </c>
      <c r="H96" s="67">
        <v>40651</v>
      </c>
      <c r="I96" s="67">
        <f t="shared" si="5"/>
        <v>0</v>
      </c>
      <c r="J96" s="17" t="s">
        <v>6</v>
      </c>
      <c r="K96" s="133"/>
      <c r="L96" s="80" t="s">
        <v>24</v>
      </c>
      <c r="M96" s="11">
        <f t="shared" si="6"/>
        <v>0</v>
      </c>
      <c r="N96" s="11"/>
      <c r="O96" s="11">
        <f t="shared" si="7"/>
        <v>0</v>
      </c>
      <c r="P96" s="146">
        <f t="shared" si="8"/>
        <v>0</v>
      </c>
    </row>
    <row r="97" spans="1:16" hidden="1" x14ac:dyDescent="0.25">
      <c r="A97" s="17" t="s">
        <v>268</v>
      </c>
      <c r="B97" s="88">
        <v>46041</v>
      </c>
      <c r="C97" s="17" t="s">
        <v>637</v>
      </c>
      <c r="D97" s="104" t="s">
        <v>7</v>
      </c>
      <c r="E97" s="99"/>
      <c r="F97" s="99">
        <v>27924</v>
      </c>
      <c r="G97" s="99"/>
      <c r="H97" s="67"/>
      <c r="I97" s="67">
        <f t="shared" si="5"/>
        <v>27924</v>
      </c>
      <c r="J97" s="17" t="s">
        <v>6</v>
      </c>
      <c r="K97" s="133"/>
      <c r="L97" s="80" t="s">
        <v>24</v>
      </c>
      <c r="M97" s="11">
        <f t="shared" si="6"/>
        <v>4259.59</v>
      </c>
      <c r="N97" s="146"/>
      <c r="O97" s="11">
        <f t="shared" si="7"/>
        <v>0</v>
      </c>
      <c r="P97" s="146">
        <f t="shared" si="8"/>
        <v>4259.59</v>
      </c>
    </row>
    <row r="98" spans="1:16" x14ac:dyDescent="0.25">
      <c r="A98" s="17" t="s">
        <v>132</v>
      </c>
      <c r="B98" s="88">
        <v>45850</v>
      </c>
      <c r="C98" s="17" t="s">
        <v>208</v>
      </c>
      <c r="D98" s="104" t="s">
        <v>7</v>
      </c>
      <c r="E98" s="99">
        <v>19295</v>
      </c>
      <c r="F98" s="99"/>
      <c r="G98" s="99"/>
      <c r="H98" s="99"/>
      <c r="I98" s="67">
        <f t="shared" si="5"/>
        <v>19295</v>
      </c>
      <c r="J98" s="105" t="s">
        <v>15</v>
      </c>
      <c r="K98" s="106">
        <v>188</v>
      </c>
      <c r="L98" s="80" t="s">
        <v>24</v>
      </c>
      <c r="M98" s="11">
        <f t="shared" si="6"/>
        <v>2943.31</v>
      </c>
      <c r="N98" s="11"/>
      <c r="O98" s="11">
        <f t="shared" si="7"/>
        <v>0</v>
      </c>
      <c r="P98" s="146">
        <f t="shared" si="8"/>
        <v>2943.31</v>
      </c>
    </row>
    <row r="99" spans="1:16" x14ac:dyDescent="0.25">
      <c r="A99" s="17" t="s">
        <v>132</v>
      </c>
      <c r="B99" s="88">
        <v>45880</v>
      </c>
      <c r="C99" s="17" t="s">
        <v>257</v>
      </c>
      <c r="D99" s="104" t="s">
        <v>7</v>
      </c>
      <c r="E99" s="99">
        <v>19985</v>
      </c>
      <c r="F99" s="99"/>
      <c r="G99" s="99"/>
      <c r="H99" s="99"/>
      <c r="I99" s="67">
        <f t="shared" si="5"/>
        <v>19985</v>
      </c>
      <c r="J99" s="17" t="s">
        <v>15</v>
      </c>
      <c r="K99" s="106">
        <v>158</v>
      </c>
      <c r="L99" s="80" t="s">
        <v>24</v>
      </c>
      <c r="M99" s="11">
        <f t="shared" si="6"/>
        <v>3048.56</v>
      </c>
      <c r="N99" s="11"/>
      <c r="O99" s="11">
        <f t="shared" si="7"/>
        <v>0</v>
      </c>
      <c r="P99" s="146">
        <f t="shared" si="8"/>
        <v>3048.56</v>
      </c>
    </row>
    <row r="100" spans="1:16" x14ac:dyDescent="0.25">
      <c r="A100" s="17" t="s">
        <v>260</v>
      </c>
      <c r="B100" s="88">
        <v>45881</v>
      </c>
      <c r="C100" s="17" t="s">
        <v>261</v>
      </c>
      <c r="D100" s="104" t="s">
        <v>13</v>
      </c>
      <c r="E100" s="99">
        <v>3682</v>
      </c>
      <c r="F100" s="99"/>
      <c r="G100" s="99"/>
      <c r="H100" s="99"/>
      <c r="I100" s="67">
        <f t="shared" si="5"/>
        <v>3682</v>
      </c>
      <c r="J100" s="17" t="s">
        <v>15</v>
      </c>
      <c r="K100" s="106">
        <v>157</v>
      </c>
      <c r="L100" s="80" t="s">
        <v>24</v>
      </c>
      <c r="M100" s="11">
        <f t="shared" si="6"/>
        <v>561.66</v>
      </c>
      <c r="N100" s="11"/>
      <c r="O100" s="11">
        <f t="shared" si="7"/>
        <v>0</v>
      </c>
      <c r="P100" s="146">
        <f t="shared" si="8"/>
        <v>561.66</v>
      </c>
    </row>
    <row r="101" spans="1:16" x14ac:dyDescent="0.25">
      <c r="A101" s="17" t="s">
        <v>132</v>
      </c>
      <c r="B101" s="88">
        <v>45941</v>
      </c>
      <c r="C101" s="17" t="s">
        <v>440</v>
      </c>
      <c r="D101" s="104" t="s">
        <v>368</v>
      </c>
      <c r="E101" s="99">
        <v>52038</v>
      </c>
      <c r="F101" s="99"/>
      <c r="G101" s="99"/>
      <c r="H101" s="99"/>
      <c r="I101" s="67">
        <f t="shared" si="5"/>
        <v>52038</v>
      </c>
      <c r="J101" s="17" t="s">
        <v>15</v>
      </c>
      <c r="K101" s="106">
        <v>97</v>
      </c>
      <c r="L101" s="80" t="s">
        <v>24</v>
      </c>
      <c r="M101" s="11">
        <f t="shared" si="6"/>
        <v>7938</v>
      </c>
      <c r="N101" s="11"/>
      <c r="O101" s="11">
        <f t="shared" si="7"/>
        <v>0</v>
      </c>
      <c r="P101" s="146">
        <f t="shared" si="8"/>
        <v>7938</v>
      </c>
    </row>
    <row r="102" spans="1:16" x14ac:dyDescent="0.25">
      <c r="A102" s="17" t="s">
        <v>449</v>
      </c>
      <c r="B102" s="88">
        <v>45945</v>
      </c>
      <c r="C102" s="17" t="s">
        <v>450</v>
      </c>
      <c r="D102" s="104" t="s">
        <v>7</v>
      </c>
      <c r="E102" s="99">
        <v>102</v>
      </c>
      <c r="F102" s="99"/>
      <c r="G102" s="99"/>
      <c r="H102" s="99"/>
      <c r="I102" s="67">
        <f t="shared" si="5"/>
        <v>102</v>
      </c>
      <c r="J102" s="17" t="s">
        <v>15</v>
      </c>
      <c r="K102" s="106">
        <v>93</v>
      </c>
      <c r="L102" s="80" t="s">
        <v>24</v>
      </c>
      <c r="M102" s="11">
        <f t="shared" si="6"/>
        <v>15.56</v>
      </c>
      <c r="N102" s="11"/>
      <c r="O102" s="11">
        <f t="shared" si="7"/>
        <v>0</v>
      </c>
      <c r="P102" s="146">
        <f t="shared" si="8"/>
        <v>15.56</v>
      </c>
    </row>
    <row r="103" spans="1:16" x14ac:dyDescent="0.25">
      <c r="A103" s="17" t="s">
        <v>458</v>
      </c>
      <c r="B103" s="88">
        <v>45955</v>
      </c>
      <c r="C103" s="17" t="s">
        <v>457</v>
      </c>
      <c r="D103" s="104" t="s">
        <v>7</v>
      </c>
      <c r="E103" s="99">
        <v>28296</v>
      </c>
      <c r="F103" s="99"/>
      <c r="G103" s="99"/>
      <c r="H103" s="99"/>
      <c r="I103" s="67">
        <f t="shared" si="5"/>
        <v>28296</v>
      </c>
      <c r="J103" s="17" t="s">
        <v>15</v>
      </c>
      <c r="K103" s="106">
        <v>83</v>
      </c>
      <c r="L103" s="80" t="s">
        <v>24</v>
      </c>
      <c r="M103" s="11">
        <f t="shared" si="6"/>
        <v>4316.34</v>
      </c>
      <c r="N103" s="11"/>
      <c r="O103" s="11">
        <f t="shared" si="7"/>
        <v>0</v>
      </c>
      <c r="P103" s="146">
        <f t="shared" si="8"/>
        <v>4316.34</v>
      </c>
    </row>
    <row r="104" spans="1:16" x14ac:dyDescent="0.25">
      <c r="A104" s="17" t="s">
        <v>95</v>
      </c>
      <c r="B104" s="88">
        <v>45971</v>
      </c>
      <c r="C104" s="17" t="s">
        <v>463</v>
      </c>
      <c r="D104" s="104" t="s">
        <v>263</v>
      </c>
      <c r="E104" s="99">
        <v>57835</v>
      </c>
      <c r="F104" s="99"/>
      <c r="G104" s="99"/>
      <c r="H104" s="99"/>
      <c r="I104" s="67">
        <f t="shared" si="5"/>
        <v>57835</v>
      </c>
      <c r="J104" s="17" t="s">
        <v>15</v>
      </c>
      <c r="K104" s="106">
        <v>67</v>
      </c>
      <c r="L104" s="80" t="s">
        <v>24</v>
      </c>
      <c r="M104" s="11">
        <f t="shared" si="6"/>
        <v>8822.2900000000009</v>
      </c>
      <c r="N104" s="11"/>
      <c r="O104" s="11">
        <f t="shared" si="7"/>
        <v>0</v>
      </c>
      <c r="P104" s="146">
        <f t="shared" si="8"/>
        <v>8822.2900000000009</v>
      </c>
    </row>
    <row r="105" spans="1:16" x14ac:dyDescent="0.25">
      <c r="A105" s="17" t="s">
        <v>175</v>
      </c>
      <c r="B105" s="88">
        <v>45975</v>
      </c>
      <c r="C105" s="17" t="s">
        <v>470</v>
      </c>
      <c r="D105" s="104" t="s">
        <v>123</v>
      </c>
      <c r="E105" s="99">
        <v>475</v>
      </c>
      <c r="F105" s="99"/>
      <c r="G105" s="99"/>
      <c r="H105" s="99"/>
      <c r="I105" s="67">
        <f t="shared" si="5"/>
        <v>475</v>
      </c>
      <c r="J105" s="17" t="s">
        <v>15</v>
      </c>
      <c r="K105" s="106">
        <v>63</v>
      </c>
      <c r="L105" s="80" t="s">
        <v>24</v>
      </c>
      <c r="M105" s="11">
        <f t="shared" si="6"/>
        <v>72.459999999999994</v>
      </c>
      <c r="N105" s="11"/>
      <c r="O105" s="11">
        <f t="shared" si="7"/>
        <v>0</v>
      </c>
      <c r="P105" s="146">
        <f t="shared" si="8"/>
        <v>72.459999999999994</v>
      </c>
    </row>
    <row r="106" spans="1:16" x14ac:dyDescent="0.25">
      <c r="A106" s="17" t="s">
        <v>145</v>
      </c>
      <c r="B106" s="88">
        <v>45976</v>
      </c>
      <c r="C106" s="17" t="s">
        <v>477</v>
      </c>
      <c r="D106" s="104" t="s">
        <v>7</v>
      </c>
      <c r="E106" s="99">
        <v>12573</v>
      </c>
      <c r="F106" s="99"/>
      <c r="G106" s="99"/>
      <c r="H106" s="99"/>
      <c r="I106" s="67">
        <f t="shared" si="5"/>
        <v>12573</v>
      </c>
      <c r="J106" s="17" t="s">
        <v>15</v>
      </c>
      <c r="K106" s="106">
        <v>62</v>
      </c>
      <c r="L106" s="80" t="s">
        <v>24</v>
      </c>
      <c r="M106" s="11">
        <f t="shared" si="6"/>
        <v>1917.92</v>
      </c>
      <c r="N106" s="146"/>
      <c r="O106" s="11">
        <f t="shared" si="7"/>
        <v>0</v>
      </c>
      <c r="P106" s="146">
        <f t="shared" si="8"/>
        <v>1917.92</v>
      </c>
    </row>
    <row r="107" spans="1:16" x14ac:dyDescent="0.25">
      <c r="A107" s="17" t="s">
        <v>119</v>
      </c>
      <c r="B107" s="88">
        <v>45976</v>
      </c>
      <c r="C107" s="17" t="s">
        <v>478</v>
      </c>
      <c r="D107" s="104" t="s">
        <v>7</v>
      </c>
      <c r="E107" s="99">
        <v>24191</v>
      </c>
      <c r="F107" s="99"/>
      <c r="G107" s="99"/>
      <c r="H107" s="99"/>
      <c r="I107" s="67">
        <f t="shared" si="5"/>
        <v>24191</v>
      </c>
      <c r="J107" s="17" t="s">
        <v>15</v>
      </c>
      <c r="K107" s="106">
        <v>62</v>
      </c>
      <c r="L107" s="80" t="s">
        <v>24</v>
      </c>
      <c r="M107" s="11">
        <f t="shared" si="6"/>
        <v>3690.15</v>
      </c>
      <c r="N107" s="11"/>
      <c r="O107" s="11">
        <f t="shared" si="7"/>
        <v>0</v>
      </c>
      <c r="P107" s="146">
        <f t="shared" si="8"/>
        <v>3690.15</v>
      </c>
    </row>
    <row r="108" spans="1:16" x14ac:dyDescent="0.25">
      <c r="A108" s="17" t="s">
        <v>132</v>
      </c>
      <c r="B108" s="88">
        <v>45976</v>
      </c>
      <c r="C108" s="17" t="s">
        <v>479</v>
      </c>
      <c r="D108" s="104" t="s">
        <v>7</v>
      </c>
      <c r="E108" s="99">
        <v>23925</v>
      </c>
      <c r="F108" s="99"/>
      <c r="G108" s="99"/>
      <c r="H108" s="99"/>
      <c r="I108" s="67">
        <f t="shared" si="5"/>
        <v>23925</v>
      </c>
      <c r="J108" s="17" t="s">
        <v>15</v>
      </c>
      <c r="K108" s="106">
        <v>62</v>
      </c>
      <c r="L108" s="80" t="s">
        <v>26</v>
      </c>
      <c r="M108" s="11">
        <f t="shared" si="6"/>
        <v>3649.58</v>
      </c>
      <c r="N108" s="11"/>
      <c r="O108" s="11">
        <f t="shared" si="7"/>
        <v>0</v>
      </c>
      <c r="P108" s="146">
        <f t="shared" si="8"/>
        <v>3649.58</v>
      </c>
    </row>
    <row r="109" spans="1:16" x14ac:dyDescent="0.25">
      <c r="A109" s="17" t="s">
        <v>258</v>
      </c>
      <c r="B109" s="88">
        <v>45976</v>
      </c>
      <c r="C109" s="17" t="s">
        <v>480</v>
      </c>
      <c r="D109" s="104" t="s">
        <v>7</v>
      </c>
      <c r="E109" s="99">
        <v>9680</v>
      </c>
      <c r="F109" s="99"/>
      <c r="G109" s="99"/>
      <c r="H109" s="99"/>
      <c r="I109" s="67">
        <f t="shared" si="5"/>
        <v>9680</v>
      </c>
      <c r="J109" s="17" t="s">
        <v>15</v>
      </c>
      <c r="K109" s="106">
        <v>62</v>
      </c>
      <c r="L109" s="80" t="s">
        <v>411</v>
      </c>
      <c r="M109" s="11">
        <f t="shared" si="6"/>
        <v>1476.61</v>
      </c>
      <c r="N109" s="11"/>
      <c r="O109" s="11">
        <f t="shared" si="7"/>
        <v>0</v>
      </c>
      <c r="P109" s="146">
        <f t="shared" si="8"/>
        <v>1476.61</v>
      </c>
    </row>
    <row r="110" spans="1:16" x14ac:dyDescent="0.25">
      <c r="A110" s="17" t="s">
        <v>485</v>
      </c>
      <c r="B110" s="88">
        <v>45982</v>
      </c>
      <c r="C110" s="17" t="s">
        <v>484</v>
      </c>
      <c r="D110" s="104" t="s">
        <v>7</v>
      </c>
      <c r="E110" s="99">
        <v>4474</v>
      </c>
      <c r="F110" s="99"/>
      <c r="G110" s="99"/>
      <c r="H110" s="99"/>
      <c r="I110" s="67">
        <f t="shared" si="5"/>
        <v>4474</v>
      </c>
      <c r="J110" s="17" t="s">
        <v>15</v>
      </c>
      <c r="K110" s="106">
        <v>56</v>
      </c>
      <c r="L110" s="80" t="s">
        <v>411</v>
      </c>
      <c r="M110" s="11">
        <f t="shared" si="6"/>
        <v>682.47</v>
      </c>
      <c r="N110" s="11"/>
      <c r="O110" s="11">
        <f t="shared" si="7"/>
        <v>0</v>
      </c>
      <c r="P110" s="146">
        <f t="shared" si="8"/>
        <v>682.47</v>
      </c>
    </row>
    <row r="111" spans="1:16" x14ac:dyDescent="0.25">
      <c r="A111" s="17" t="s">
        <v>258</v>
      </c>
      <c r="B111" s="88">
        <v>45983</v>
      </c>
      <c r="C111" s="17" t="s">
        <v>486</v>
      </c>
      <c r="D111" s="104" t="s">
        <v>22</v>
      </c>
      <c r="E111" s="99">
        <v>6457</v>
      </c>
      <c r="F111" s="99"/>
      <c r="G111" s="99"/>
      <c r="H111" s="99"/>
      <c r="I111" s="67">
        <f t="shared" si="5"/>
        <v>6457</v>
      </c>
      <c r="J111" s="17" t="s">
        <v>15</v>
      </c>
      <c r="K111" s="106">
        <v>55</v>
      </c>
      <c r="L111" s="80" t="s">
        <v>411</v>
      </c>
      <c r="M111" s="11">
        <f t="shared" si="6"/>
        <v>984.97</v>
      </c>
      <c r="N111" s="11"/>
      <c r="O111" s="11">
        <f t="shared" si="7"/>
        <v>0</v>
      </c>
      <c r="P111" s="146">
        <f t="shared" si="8"/>
        <v>984.97</v>
      </c>
    </row>
    <row r="112" spans="1:16" x14ac:dyDescent="0.25">
      <c r="A112" s="17" t="s">
        <v>166</v>
      </c>
      <c r="B112" s="88">
        <v>45985</v>
      </c>
      <c r="C112" s="17" t="s">
        <v>487</v>
      </c>
      <c r="D112" s="104" t="s">
        <v>7</v>
      </c>
      <c r="E112" s="99">
        <v>5496</v>
      </c>
      <c r="F112" s="99"/>
      <c r="G112" s="99"/>
      <c r="H112" s="99"/>
      <c r="I112" s="67">
        <f t="shared" si="5"/>
        <v>5496</v>
      </c>
      <c r="J112" s="17" t="s">
        <v>15</v>
      </c>
      <c r="K112" s="106">
        <v>53</v>
      </c>
      <c r="L112" s="80" t="s">
        <v>411</v>
      </c>
      <c r="M112" s="11">
        <f t="shared" si="6"/>
        <v>838.37</v>
      </c>
      <c r="N112" s="11"/>
      <c r="O112" s="11">
        <f t="shared" si="7"/>
        <v>0</v>
      </c>
      <c r="P112" s="146">
        <f t="shared" si="8"/>
        <v>838.37</v>
      </c>
    </row>
    <row r="113" spans="1:16" x14ac:dyDescent="0.25">
      <c r="A113" s="17" t="s">
        <v>95</v>
      </c>
      <c r="B113" s="88">
        <v>46000</v>
      </c>
      <c r="C113" s="17" t="s">
        <v>503</v>
      </c>
      <c r="D113" s="104" t="s">
        <v>263</v>
      </c>
      <c r="E113" s="99">
        <v>208152</v>
      </c>
      <c r="F113" s="99"/>
      <c r="G113" s="99"/>
      <c r="H113" s="99"/>
      <c r="I113" s="67">
        <f t="shared" si="5"/>
        <v>208152</v>
      </c>
      <c r="J113" s="17" t="s">
        <v>15</v>
      </c>
      <c r="K113" s="106">
        <v>38</v>
      </c>
      <c r="L113" s="80" t="s">
        <v>411</v>
      </c>
      <c r="M113" s="11">
        <f t="shared" si="6"/>
        <v>31752</v>
      </c>
      <c r="N113" s="11"/>
      <c r="O113" s="11">
        <f t="shared" si="7"/>
        <v>0</v>
      </c>
      <c r="P113" s="146">
        <f t="shared" si="8"/>
        <v>31752</v>
      </c>
    </row>
    <row r="114" spans="1:16" x14ac:dyDescent="0.25">
      <c r="A114" s="17" t="s">
        <v>145</v>
      </c>
      <c r="B114" s="88">
        <v>46006</v>
      </c>
      <c r="C114" s="17" t="s">
        <v>526</v>
      </c>
      <c r="D114" s="104" t="s">
        <v>7</v>
      </c>
      <c r="E114" s="99">
        <v>12192</v>
      </c>
      <c r="F114" s="99"/>
      <c r="G114" s="99"/>
      <c r="H114" s="99"/>
      <c r="I114" s="67">
        <f t="shared" si="5"/>
        <v>12192</v>
      </c>
      <c r="J114" s="17" t="s">
        <v>15</v>
      </c>
      <c r="K114" s="106">
        <v>32</v>
      </c>
      <c r="L114" s="80" t="s">
        <v>411</v>
      </c>
      <c r="M114" s="11">
        <f t="shared" si="6"/>
        <v>1859.8</v>
      </c>
      <c r="N114" s="11"/>
      <c r="O114" s="11">
        <f t="shared" si="7"/>
        <v>0</v>
      </c>
      <c r="P114" s="146">
        <f t="shared" si="8"/>
        <v>1859.8</v>
      </c>
    </row>
    <row r="115" spans="1:16" x14ac:dyDescent="0.25">
      <c r="A115" s="17" t="s">
        <v>255</v>
      </c>
      <c r="B115" s="88">
        <v>46006</v>
      </c>
      <c r="C115" s="17" t="s">
        <v>527</v>
      </c>
      <c r="D115" s="104" t="s">
        <v>7</v>
      </c>
      <c r="E115" s="99">
        <v>11595</v>
      </c>
      <c r="F115" s="99"/>
      <c r="G115" s="99"/>
      <c r="H115" s="99"/>
      <c r="I115" s="67">
        <f t="shared" si="5"/>
        <v>11595</v>
      </c>
      <c r="J115" s="17" t="s">
        <v>15</v>
      </c>
      <c r="K115" s="106">
        <v>32</v>
      </c>
      <c r="L115" s="80" t="s">
        <v>411</v>
      </c>
      <c r="M115" s="11">
        <f t="shared" si="6"/>
        <v>1768.73</v>
      </c>
      <c r="N115" s="11"/>
      <c r="O115" s="11">
        <f t="shared" si="7"/>
        <v>0</v>
      </c>
      <c r="P115" s="146">
        <f t="shared" si="8"/>
        <v>1768.73</v>
      </c>
    </row>
    <row r="116" spans="1:16" x14ac:dyDescent="0.25">
      <c r="A116" s="17" t="s">
        <v>528</v>
      </c>
      <c r="B116" s="88">
        <v>46006</v>
      </c>
      <c r="C116" s="17" t="s">
        <v>529</v>
      </c>
      <c r="D116" s="104" t="s">
        <v>7</v>
      </c>
      <c r="E116" s="99">
        <v>4775</v>
      </c>
      <c r="F116" s="99"/>
      <c r="G116" s="99"/>
      <c r="H116" s="99"/>
      <c r="I116" s="67">
        <f t="shared" si="5"/>
        <v>4775</v>
      </c>
      <c r="J116" s="17" t="s">
        <v>15</v>
      </c>
      <c r="K116" s="106">
        <v>32</v>
      </c>
      <c r="L116" s="80" t="s">
        <v>411</v>
      </c>
      <c r="M116" s="11">
        <f t="shared" si="6"/>
        <v>728.39</v>
      </c>
      <c r="N116" s="11"/>
      <c r="O116" s="11">
        <f t="shared" si="7"/>
        <v>0</v>
      </c>
      <c r="P116" s="146">
        <f t="shared" si="8"/>
        <v>728.39</v>
      </c>
    </row>
    <row r="117" spans="1:16" x14ac:dyDescent="0.25">
      <c r="A117" s="17" t="s">
        <v>132</v>
      </c>
      <c r="B117" s="88">
        <v>46006</v>
      </c>
      <c r="C117" s="17" t="s">
        <v>530</v>
      </c>
      <c r="D117" s="104" t="s">
        <v>7</v>
      </c>
      <c r="E117" s="99">
        <v>22456</v>
      </c>
      <c r="F117" s="99"/>
      <c r="G117" s="99"/>
      <c r="H117" s="99"/>
      <c r="I117" s="67">
        <f t="shared" si="5"/>
        <v>22456</v>
      </c>
      <c r="J117" s="17" t="s">
        <v>15</v>
      </c>
      <c r="K117" s="106">
        <v>32</v>
      </c>
      <c r="L117" s="80" t="s">
        <v>24</v>
      </c>
      <c r="M117" s="11">
        <f t="shared" si="6"/>
        <v>3425.49</v>
      </c>
      <c r="N117" s="146"/>
      <c r="O117" s="11">
        <f t="shared" si="7"/>
        <v>0</v>
      </c>
      <c r="P117" s="146">
        <f t="shared" si="8"/>
        <v>3425.49</v>
      </c>
    </row>
    <row r="118" spans="1:16" x14ac:dyDescent="0.25">
      <c r="A118" s="17" t="s">
        <v>258</v>
      </c>
      <c r="B118" s="88">
        <v>46006</v>
      </c>
      <c r="C118" s="17" t="s">
        <v>531</v>
      </c>
      <c r="D118" s="104" t="s">
        <v>7</v>
      </c>
      <c r="E118" s="99">
        <v>9381</v>
      </c>
      <c r="F118" s="99"/>
      <c r="G118" s="99"/>
      <c r="H118" s="99"/>
      <c r="I118" s="67">
        <f t="shared" si="5"/>
        <v>9381</v>
      </c>
      <c r="J118" s="17" t="s">
        <v>15</v>
      </c>
      <c r="K118" s="106">
        <v>32</v>
      </c>
      <c r="L118" s="80" t="s">
        <v>24</v>
      </c>
      <c r="M118" s="11">
        <f t="shared" si="6"/>
        <v>1431</v>
      </c>
      <c r="N118" s="11"/>
      <c r="O118" s="11">
        <f t="shared" si="7"/>
        <v>0</v>
      </c>
      <c r="P118" s="146">
        <f t="shared" si="8"/>
        <v>1431</v>
      </c>
    </row>
    <row r="119" spans="1:16" x14ac:dyDescent="0.25">
      <c r="A119" s="17" t="s">
        <v>166</v>
      </c>
      <c r="B119" s="88">
        <v>46013</v>
      </c>
      <c r="C119" s="17" t="s">
        <v>550</v>
      </c>
      <c r="D119" s="104" t="s">
        <v>7</v>
      </c>
      <c r="E119" s="99">
        <v>5294</v>
      </c>
      <c r="F119" s="99"/>
      <c r="G119" s="99"/>
      <c r="H119" s="99"/>
      <c r="I119" s="67">
        <f t="shared" si="5"/>
        <v>5294</v>
      </c>
      <c r="J119" s="17" t="s">
        <v>15</v>
      </c>
      <c r="K119" s="106">
        <v>25</v>
      </c>
      <c r="L119" s="80" t="s">
        <v>26</v>
      </c>
      <c r="M119" s="11">
        <f t="shared" si="6"/>
        <v>807.56</v>
      </c>
      <c r="N119" s="11"/>
      <c r="O119" s="11">
        <f t="shared" si="7"/>
        <v>0</v>
      </c>
      <c r="P119" s="146">
        <f t="shared" si="8"/>
        <v>807.56</v>
      </c>
    </row>
    <row r="120" spans="1:16" x14ac:dyDescent="0.25">
      <c r="A120" s="17" t="s">
        <v>565</v>
      </c>
      <c r="B120" s="88">
        <v>46021</v>
      </c>
      <c r="C120" s="17" t="s">
        <v>566</v>
      </c>
      <c r="D120" s="104" t="s">
        <v>13</v>
      </c>
      <c r="E120" s="99">
        <v>9558</v>
      </c>
      <c r="F120" s="99"/>
      <c r="G120" s="99"/>
      <c r="H120" s="99"/>
      <c r="I120" s="67">
        <f t="shared" si="5"/>
        <v>9558</v>
      </c>
      <c r="J120" s="17" t="s">
        <v>15</v>
      </c>
      <c r="K120" s="106">
        <v>17</v>
      </c>
      <c r="L120" s="80" t="s">
        <v>26</v>
      </c>
      <c r="M120" s="11">
        <f t="shared" si="6"/>
        <v>1458</v>
      </c>
      <c r="N120" s="11"/>
      <c r="O120" s="11">
        <f t="shared" si="7"/>
        <v>0</v>
      </c>
      <c r="P120" s="146">
        <f t="shared" si="8"/>
        <v>1458</v>
      </c>
    </row>
    <row r="121" spans="1:16" hidden="1" x14ac:dyDescent="0.25">
      <c r="A121" s="17" t="s">
        <v>10</v>
      </c>
      <c r="B121" s="88">
        <v>46025</v>
      </c>
      <c r="C121" s="17" t="s">
        <v>579</v>
      </c>
      <c r="D121" s="104" t="s">
        <v>11</v>
      </c>
      <c r="E121" s="99">
        <v>0</v>
      </c>
      <c r="F121" s="99"/>
      <c r="G121" s="99"/>
      <c r="H121" s="99"/>
      <c r="I121" s="67">
        <f t="shared" si="5"/>
        <v>0</v>
      </c>
      <c r="J121" s="17" t="s">
        <v>15</v>
      </c>
      <c r="K121" s="106">
        <v>0</v>
      </c>
      <c r="L121" s="80" t="s">
        <v>411</v>
      </c>
      <c r="M121" s="11">
        <f t="shared" si="6"/>
        <v>0</v>
      </c>
      <c r="N121" s="11"/>
      <c r="O121" s="11">
        <f t="shared" si="7"/>
        <v>0</v>
      </c>
      <c r="P121" s="146">
        <f t="shared" si="8"/>
        <v>0</v>
      </c>
    </row>
    <row r="122" spans="1:16" hidden="1" x14ac:dyDescent="0.25">
      <c r="A122" s="17" t="s">
        <v>10</v>
      </c>
      <c r="B122" s="88">
        <v>46030</v>
      </c>
      <c r="C122" s="17" t="s">
        <v>582</v>
      </c>
      <c r="D122" s="104" t="s">
        <v>368</v>
      </c>
      <c r="E122" s="99">
        <v>39825</v>
      </c>
      <c r="F122" s="99"/>
      <c r="G122" s="99"/>
      <c r="H122" s="99"/>
      <c r="I122" s="67">
        <f t="shared" si="5"/>
        <v>39825</v>
      </c>
      <c r="J122" s="17" t="s">
        <v>15</v>
      </c>
      <c r="K122" s="106">
        <v>8</v>
      </c>
      <c r="L122" s="80" t="s">
        <v>24</v>
      </c>
      <c r="M122" s="11">
        <f t="shared" si="6"/>
        <v>6075</v>
      </c>
      <c r="N122" s="11"/>
      <c r="O122" s="11">
        <f t="shared" si="7"/>
        <v>0</v>
      </c>
      <c r="P122" s="146">
        <f t="shared" si="8"/>
        <v>6075</v>
      </c>
    </row>
    <row r="123" spans="1:16" hidden="1" x14ac:dyDescent="0.25">
      <c r="A123" s="17" t="s">
        <v>201</v>
      </c>
      <c r="B123" s="88">
        <v>46036</v>
      </c>
      <c r="C123" s="17" t="s">
        <v>613</v>
      </c>
      <c r="D123" s="104" t="s">
        <v>7</v>
      </c>
      <c r="E123" s="99">
        <v>8631</v>
      </c>
      <c r="F123" s="99"/>
      <c r="G123" s="99"/>
      <c r="H123" s="99"/>
      <c r="I123" s="67">
        <f t="shared" si="5"/>
        <v>8631</v>
      </c>
      <c r="J123" s="17" t="s">
        <v>15</v>
      </c>
      <c r="K123" s="106">
        <v>2</v>
      </c>
      <c r="L123" s="80" t="s">
        <v>24</v>
      </c>
      <c r="M123" s="11">
        <f t="shared" si="6"/>
        <v>1316.59</v>
      </c>
      <c r="N123" s="11"/>
      <c r="O123" s="11">
        <f t="shared" si="7"/>
        <v>0</v>
      </c>
      <c r="P123" s="146">
        <f t="shared" si="8"/>
        <v>1316.59</v>
      </c>
    </row>
    <row r="124" spans="1:16" hidden="1" x14ac:dyDescent="0.25">
      <c r="A124" s="17" t="s">
        <v>255</v>
      </c>
      <c r="B124" s="88">
        <v>46036</v>
      </c>
      <c r="C124" s="17" t="s">
        <v>614</v>
      </c>
      <c r="D124" s="104" t="s">
        <v>7</v>
      </c>
      <c r="E124" s="99">
        <v>14962</v>
      </c>
      <c r="F124" s="99"/>
      <c r="G124" s="99"/>
      <c r="H124" s="99">
        <v>14962</v>
      </c>
      <c r="I124" s="67">
        <f t="shared" si="5"/>
        <v>0</v>
      </c>
      <c r="J124" s="17" t="s">
        <v>15</v>
      </c>
      <c r="K124" s="106">
        <v>2</v>
      </c>
      <c r="L124" s="80" t="s">
        <v>24</v>
      </c>
      <c r="M124" s="11">
        <f t="shared" si="6"/>
        <v>0</v>
      </c>
      <c r="N124" s="146"/>
      <c r="O124" s="11">
        <f t="shared" si="7"/>
        <v>0</v>
      </c>
      <c r="P124" s="146">
        <f t="shared" si="8"/>
        <v>0</v>
      </c>
    </row>
    <row r="125" spans="1:16" hidden="1" x14ac:dyDescent="0.25">
      <c r="A125" s="17" t="s">
        <v>458</v>
      </c>
      <c r="B125" s="88">
        <v>46036</v>
      </c>
      <c r="C125" s="17" t="s">
        <v>615</v>
      </c>
      <c r="D125" s="104" t="s">
        <v>7</v>
      </c>
      <c r="E125" s="99">
        <v>5065</v>
      </c>
      <c r="F125" s="99"/>
      <c r="G125" s="99"/>
      <c r="H125" s="99"/>
      <c r="I125" s="67">
        <f t="shared" si="5"/>
        <v>5065</v>
      </c>
      <c r="J125" s="17" t="s">
        <v>15</v>
      </c>
      <c r="K125" s="106">
        <v>2</v>
      </c>
      <c r="L125" s="80" t="s">
        <v>24</v>
      </c>
      <c r="M125" s="11">
        <f t="shared" si="6"/>
        <v>772.63</v>
      </c>
      <c r="N125" s="11"/>
      <c r="O125" s="11">
        <f t="shared" si="7"/>
        <v>0</v>
      </c>
      <c r="P125" s="146">
        <f t="shared" si="8"/>
        <v>772.63</v>
      </c>
    </row>
    <row r="126" spans="1:16" hidden="1" x14ac:dyDescent="0.25">
      <c r="A126" s="17" t="s">
        <v>520</v>
      </c>
      <c r="B126" s="88">
        <v>46036</v>
      </c>
      <c r="C126" s="17" t="s">
        <v>616</v>
      </c>
      <c r="D126" s="104" t="s">
        <v>7</v>
      </c>
      <c r="E126" s="99">
        <v>4175</v>
      </c>
      <c r="F126" s="99"/>
      <c r="G126" s="99"/>
      <c r="H126" s="99"/>
      <c r="I126" s="67">
        <f t="shared" si="5"/>
        <v>4175</v>
      </c>
      <c r="J126" s="17" t="s">
        <v>15</v>
      </c>
      <c r="K126" s="106">
        <v>2</v>
      </c>
      <c r="L126" s="152" t="s">
        <v>44</v>
      </c>
      <c r="M126" s="11">
        <f t="shared" si="6"/>
        <v>636.86</v>
      </c>
      <c r="N126" s="11"/>
      <c r="O126" s="11">
        <f t="shared" si="7"/>
        <v>0</v>
      </c>
      <c r="P126" s="146">
        <f t="shared" si="8"/>
        <v>636.86</v>
      </c>
    </row>
    <row r="127" spans="1:16" hidden="1" x14ac:dyDescent="0.25">
      <c r="A127" s="17" t="s">
        <v>256</v>
      </c>
      <c r="B127" s="88">
        <v>46036</v>
      </c>
      <c r="C127" s="17" t="s">
        <v>617</v>
      </c>
      <c r="D127" s="104" t="s">
        <v>7</v>
      </c>
      <c r="E127" s="99">
        <v>18065</v>
      </c>
      <c r="F127" s="99"/>
      <c r="G127" s="99">
        <v>153</v>
      </c>
      <c r="H127" s="99">
        <v>17912</v>
      </c>
      <c r="I127" s="67">
        <f t="shared" si="5"/>
        <v>0</v>
      </c>
      <c r="J127" s="17" t="s">
        <v>15</v>
      </c>
      <c r="K127" s="106">
        <v>2</v>
      </c>
      <c r="L127" s="11"/>
      <c r="M127" s="11">
        <f t="shared" si="6"/>
        <v>0</v>
      </c>
      <c r="N127" s="11"/>
      <c r="O127" s="11">
        <f t="shared" si="7"/>
        <v>0</v>
      </c>
      <c r="P127" s="146">
        <f t="shared" si="8"/>
        <v>0</v>
      </c>
    </row>
    <row r="128" spans="1:16" hidden="1" x14ac:dyDescent="0.25">
      <c r="A128" s="17" t="s">
        <v>618</v>
      </c>
      <c r="B128" s="88">
        <v>46036</v>
      </c>
      <c r="C128" s="17" t="s">
        <v>619</v>
      </c>
      <c r="D128" s="104" t="s">
        <v>7</v>
      </c>
      <c r="E128" s="99">
        <v>0</v>
      </c>
      <c r="F128" s="99"/>
      <c r="G128" s="99"/>
      <c r="H128" s="99"/>
      <c r="I128" s="67">
        <f t="shared" si="5"/>
        <v>0</v>
      </c>
      <c r="J128" s="17" t="s">
        <v>15</v>
      </c>
      <c r="K128" s="106">
        <v>0</v>
      </c>
      <c r="L128" s="11"/>
      <c r="M128" s="11">
        <f t="shared" si="6"/>
        <v>0</v>
      </c>
      <c r="N128" s="11"/>
      <c r="O128" s="11">
        <f t="shared" si="7"/>
        <v>0</v>
      </c>
      <c r="P128" s="146">
        <f t="shared" si="8"/>
        <v>0</v>
      </c>
    </row>
    <row r="129" spans="1:16" hidden="1" x14ac:dyDescent="0.25">
      <c r="A129" s="17" t="s">
        <v>132</v>
      </c>
      <c r="B129" s="88">
        <v>46036</v>
      </c>
      <c r="C129" s="17" t="s">
        <v>620</v>
      </c>
      <c r="D129" s="104" t="s">
        <v>7</v>
      </c>
      <c r="E129" s="99">
        <v>31868</v>
      </c>
      <c r="F129" s="99"/>
      <c r="G129" s="99"/>
      <c r="H129" s="99"/>
      <c r="I129" s="67">
        <f t="shared" si="5"/>
        <v>31868</v>
      </c>
      <c r="J129" s="17" t="s">
        <v>15</v>
      </c>
      <c r="K129" s="106">
        <v>2</v>
      </c>
      <c r="L129" s="11"/>
      <c r="M129" s="11">
        <f t="shared" si="6"/>
        <v>4861.22</v>
      </c>
      <c r="N129" s="11"/>
      <c r="O129" s="11">
        <f t="shared" si="7"/>
        <v>0</v>
      </c>
      <c r="P129" s="146">
        <f t="shared" si="8"/>
        <v>4861.22</v>
      </c>
    </row>
    <row r="130" spans="1:16" hidden="1" x14ac:dyDescent="0.25">
      <c r="A130" s="17" t="s">
        <v>258</v>
      </c>
      <c r="B130" s="88">
        <v>46036</v>
      </c>
      <c r="C130" s="17" t="s">
        <v>621</v>
      </c>
      <c r="D130" s="104" t="s">
        <v>7</v>
      </c>
      <c r="E130" s="99">
        <v>10004</v>
      </c>
      <c r="F130" s="99"/>
      <c r="G130" s="99"/>
      <c r="H130" s="99"/>
      <c r="I130" s="67">
        <f t="shared" ref="I130:I143" si="9">+E130+F130-H130-G130</f>
        <v>10004</v>
      </c>
      <c r="J130" s="17" t="s">
        <v>15</v>
      </c>
      <c r="K130" s="106">
        <v>2</v>
      </c>
      <c r="L130" s="11"/>
      <c r="M130" s="11">
        <f t="shared" si="6"/>
        <v>1526.03</v>
      </c>
      <c r="N130" s="11"/>
      <c r="O130" s="11">
        <f t="shared" si="7"/>
        <v>0</v>
      </c>
      <c r="P130" s="146">
        <f t="shared" si="8"/>
        <v>1526.03</v>
      </c>
    </row>
    <row r="131" spans="1:16" hidden="1" x14ac:dyDescent="0.25">
      <c r="A131" s="17" t="s">
        <v>451</v>
      </c>
      <c r="B131" s="88">
        <v>46036</v>
      </c>
      <c r="C131" s="17" t="s">
        <v>622</v>
      </c>
      <c r="D131" s="104" t="s">
        <v>7</v>
      </c>
      <c r="E131" s="99">
        <v>25126</v>
      </c>
      <c r="F131" s="99"/>
      <c r="G131" s="99"/>
      <c r="H131" s="99">
        <v>25126</v>
      </c>
      <c r="I131" s="67">
        <f t="shared" si="9"/>
        <v>0</v>
      </c>
      <c r="J131" s="17" t="s">
        <v>15</v>
      </c>
      <c r="K131" s="106">
        <v>2</v>
      </c>
      <c r="L131" s="11"/>
      <c r="M131" s="11">
        <f t="shared" ref="M131:M150" si="10">ROUND(I131*18/118,2)</f>
        <v>0</v>
      </c>
      <c r="N131" s="11"/>
      <c r="O131" s="11">
        <f t="shared" ref="O131:O150" si="11">+N131*18%</f>
        <v>0</v>
      </c>
      <c r="P131" s="146">
        <f t="shared" si="8"/>
        <v>0</v>
      </c>
    </row>
    <row r="132" spans="1:16" hidden="1" x14ac:dyDescent="0.25">
      <c r="A132" s="17" t="s">
        <v>10</v>
      </c>
      <c r="B132" s="88">
        <v>46036</v>
      </c>
      <c r="C132" s="17" t="s">
        <v>623</v>
      </c>
      <c r="D132" s="104" t="s">
        <v>7</v>
      </c>
      <c r="E132" s="99">
        <v>37525</v>
      </c>
      <c r="F132" s="99"/>
      <c r="G132" s="99"/>
      <c r="H132" s="99"/>
      <c r="I132" s="67">
        <f t="shared" si="9"/>
        <v>37525</v>
      </c>
      <c r="J132" s="17" t="s">
        <v>15</v>
      </c>
      <c r="K132" s="106">
        <v>2</v>
      </c>
      <c r="L132" s="11"/>
      <c r="M132" s="11">
        <f t="shared" si="10"/>
        <v>5724.15</v>
      </c>
      <c r="N132" s="11"/>
      <c r="O132" s="11">
        <f t="shared" si="11"/>
        <v>0</v>
      </c>
      <c r="P132" s="146">
        <f t="shared" ref="P132:P150" si="12">+M132-O132</f>
        <v>5724.15</v>
      </c>
    </row>
    <row r="133" spans="1:16" hidden="1" x14ac:dyDescent="0.25">
      <c r="A133" s="17" t="s">
        <v>638</v>
      </c>
      <c r="B133" s="88">
        <v>46041</v>
      </c>
      <c r="C133" s="17" t="s">
        <v>639</v>
      </c>
      <c r="D133" s="104" t="s">
        <v>7</v>
      </c>
      <c r="E133" s="99"/>
      <c r="F133" s="99">
        <v>9618</v>
      </c>
      <c r="G133" s="99"/>
      <c r="H133" s="99">
        <v>9618</v>
      </c>
      <c r="I133" s="67">
        <f t="shared" si="9"/>
        <v>0</v>
      </c>
      <c r="J133" s="17" t="s">
        <v>15</v>
      </c>
      <c r="K133" s="106"/>
      <c r="L133" s="11"/>
      <c r="M133" s="11">
        <f t="shared" si="10"/>
        <v>0</v>
      </c>
      <c r="N133" s="11"/>
      <c r="O133" s="11">
        <f t="shared" si="11"/>
        <v>0</v>
      </c>
      <c r="P133" s="146">
        <f t="shared" si="12"/>
        <v>0</v>
      </c>
    </row>
    <row r="134" spans="1:16" hidden="1" x14ac:dyDescent="0.25">
      <c r="A134" s="17" t="s">
        <v>640</v>
      </c>
      <c r="B134" s="88">
        <v>46041</v>
      </c>
      <c r="C134" s="17" t="s">
        <v>641</v>
      </c>
      <c r="D134" s="104" t="s">
        <v>7</v>
      </c>
      <c r="E134" s="99"/>
      <c r="F134" s="99">
        <v>33477</v>
      </c>
      <c r="G134" s="99"/>
      <c r="H134" s="99"/>
      <c r="I134" s="67">
        <f t="shared" si="9"/>
        <v>33477</v>
      </c>
      <c r="J134" s="17" t="s">
        <v>15</v>
      </c>
      <c r="K134" s="106"/>
      <c r="L134" s="11"/>
      <c r="M134" s="11">
        <f t="shared" si="10"/>
        <v>5106.66</v>
      </c>
      <c r="N134" s="11"/>
      <c r="O134" s="11">
        <f t="shared" si="11"/>
        <v>0</v>
      </c>
      <c r="P134" s="146">
        <f t="shared" si="12"/>
        <v>5106.66</v>
      </c>
    </row>
    <row r="135" spans="1:16" hidden="1" x14ac:dyDescent="0.25">
      <c r="A135" s="17" t="s">
        <v>481</v>
      </c>
      <c r="B135" s="88">
        <v>46041</v>
      </c>
      <c r="C135" s="17" t="s">
        <v>642</v>
      </c>
      <c r="D135" s="104" t="s">
        <v>7</v>
      </c>
      <c r="E135" s="99"/>
      <c r="F135" s="99">
        <v>44203</v>
      </c>
      <c r="G135" s="99"/>
      <c r="H135" s="99"/>
      <c r="I135" s="67">
        <f t="shared" si="9"/>
        <v>44203</v>
      </c>
      <c r="J135" s="17" t="s">
        <v>15</v>
      </c>
      <c r="K135" s="106"/>
      <c r="L135" s="11"/>
      <c r="M135" s="11">
        <f t="shared" si="10"/>
        <v>6742.83</v>
      </c>
      <c r="N135" s="11"/>
      <c r="O135" s="11">
        <f t="shared" si="11"/>
        <v>0</v>
      </c>
      <c r="P135" s="146">
        <f t="shared" si="12"/>
        <v>6742.83</v>
      </c>
    </row>
    <row r="136" spans="1:16" x14ac:dyDescent="0.25">
      <c r="A136" s="17" t="s">
        <v>17</v>
      </c>
      <c r="B136" s="88">
        <v>45784</v>
      </c>
      <c r="C136" s="17" t="s">
        <v>114</v>
      </c>
      <c r="D136" s="17" t="s">
        <v>18</v>
      </c>
      <c r="E136" s="73">
        <v>13861</v>
      </c>
      <c r="F136" s="73"/>
      <c r="G136" s="73"/>
      <c r="H136" s="74"/>
      <c r="I136" s="67">
        <f t="shared" si="9"/>
        <v>13861</v>
      </c>
      <c r="J136" s="22" t="s">
        <v>198</v>
      </c>
      <c r="K136" s="106">
        <v>254</v>
      </c>
      <c r="L136" s="11"/>
      <c r="M136" s="11">
        <f t="shared" si="10"/>
        <v>2114.39</v>
      </c>
      <c r="N136" s="11"/>
      <c r="O136" s="11">
        <f t="shared" si="11"/>
        <v>0</v>
      </c>
      <c r="P136" s="146">
        <f t="shared" si="12"/>
        <v>2114.39</v>
      </c>
    </row>
    <row r="137" spans="1:16" x14ac:dyDescent="0.25">
      <c r="A137" s="22" t="s">
        <v>17</v>
      </c>
      <c r="B137" s="86">
        <v>45817</v>
      </c>
      <c r="C137" s="22" t="s">
        <v>142</v>
      </c>
      <c r="D137" s="23" t="s">
        <v>18</v>
      </c>
      <c r="E137" s="99">
        <v>2360</v>
      </c>
      <c r="F137" s="99"/>
      <c r="G137" s="99"/>
      <c r="H137" s="67"/>
      <c r="I137" s="67">
        <f t="shared" si="9"/>
        <v>2360</v>
      </c>
      <c r="J137" s="17" t="s">
        <v>198</v>
      </c>
      <c r="K137" s="107">
        <v>221</v>
      </c>
      <c r="L137" s="11"/>
      <c r="M137" s="11">
        <f t="shared" si="10"/>
        <v>360</v>
      </c>
      <c r="N137" s="11"/>
      <c r="O137" s="11">
        <f t="shared" si="11"/>
        <v>0</v>
      </c>
      <c r="P137" s="146">
        <f t="shared" si="12"/>
        <v>360</v>
      </c>
    </row>
    <row r="138" spans="1:16" x14ac:dyDescent="0.25">
      <c r="A138" s="22" t="s">
        <v>187</v>
      </c>
      <c r="B138" s="86">
        <v>45841</v>
      </c>
      <c r="C138" s="22" t="s">
        <v>188</v>
      </c>
      <c r="D138" s="23" t="s">
        <v>11</v>
      </c>
      <c r="E138" s="99">
        <v>2142</v>
      </c>
      <c r="F138" s="99"/>
      <c r="G138" s="99"/>
      <c r="H138" s="67"/>
      <c r="I138" s="67">
        <f t="shared" si="9"/>
        <v>2142</v>
      </c>
      <c r="J138" s="17" t="s">
        <v>198</v>
      </c>
      <c r="K138" s="107">
        <v>197</v>
      </c>
      <c r="L138" s="11"/>
      <c r="M138" s="11">
        <f t="shared" si="10"/>
        <v>326.75</v>
      </c>
      <c r="N138" s="11"/>
      <c r="O138" s="11">
        <f t="shared" si="11"/>
        <v>0</v>
      </c>
      <c r="P138" s="146">
        <f t="shared" si="12"/>
        <v>326.75</v>
      </c>
    </row>
    <row r="139" spans="1:16" x14ac:dyDescent="0.25">
      <c r="A139" s="22" t="s">
        <v>17</v>
      </c>
      <c r="B139" s="86">
        <v>45847</v>
      </c>
      <c r="C139" s="22" t="s">
        <v>197</v>
      </c>
      <c r="D139" s="23" t="s">
        <v>18</v>
      </c>
      <c r="E139" s="99">
        <v>3880</v>
      </c>
      <c r="F139" s="99"/>
      <c r="G139" s="99"/>
      <c r="H139" s="67"/>
      <c r="I139" s="67">
        <f t="shared" si="9"/>
        <v>3880</v>
      </c>
      <c r="J139" s="17" t="s">
        <v>198</v>
      </c>
      <c r="K139" s="107">
        <v>191</v>
      </c>
      <c r="L139" s="11"/>
      <c r="M139" s="11">
        <f t="shared" si="10"/>
        <v>591.86</v>
      </c>
      <c r="N139" s="11"/>
      <c r="O139" s="11">
        <f t="shared" si="11"/>
        <v>0</v>
      </c>
      <c r="P139" s="146">
        <f t="shared" si="12"/>
        <v>591.86</v>
      </c>
    </row>
    <row r="140" spans="1:16" x14ac:dyDescent="0.25">
      <c r="A140" s="17" t="s">
        <v>17</v>
      </c>
      <c r="B140" s="86">
        <v>45877</v>
      </c>
      <c r="C140" s="22" t="s">
        <v>235</v>
      </c>
      <c r="D140" s="17" t="s">
        <v>18</v>
      </c>
      <c r="E140" s="99">
        <v>8239</v>
      </c>
      <c r="F140" s="99"/>
      <c r="G140" s="99"/>
      <c r="H140" s="67"/>
      <c r="I140" s="67">
        <f t="shared" si="9"/>
        <v>8239</v>
      </c>
      <c r="J140" s="17" t="s">
        <v>198</v>
      </c>
      <c r="K140" s="107">
        <v>161</v>
      </c>
      <c r="L140" s="11"/>
      <c r="M140" s="11">
        <f t="shared" si="10"/>
        <v>1256.8</v>
      </c>
      <c r="N140" s="11"/>
      <c r="O140" s="11">
        <f t="shared" si="11"/>
        <v>0</v>
      </c>
      <c r="P140" s="146">
        <f t="shared" si="12"/>
        <v>1256.8</v>
      </c>
    </row>
    <row r="141" spans="1:16" x14ac:dyDescent="0.25">
      <c r="A141" s="22" t="s">
        <v>187</v>
      </c>
      <c r="B141" s="86">
        <v>45881</v>
      </c>
      <c r="C141" s="22" t="s">
        <v>237</v>
      </c>
      <c r="D141" s="23" t="s">
        <v>11</v>
      </c>
      <c r="E141" s="99">
        <v>2142</v>
      </c>
      <c r="F141" s="99"/>
      <c r="G141" s="99"/>
      <c r="H141" s="67"/>
      <c r="I141" s="67">
        <f t="shared" si="9"/>
        <v>2142</v>
      </c>
      <c r="J141" s="107" t="s">
        <v>236</v>
      </c>
      <c r="K141" s="107">
        <v>157</v>
      </c>
      <c r="L141" s="11"/>
      <c r="M141" s="11">
        <f t="shared" si="10"/>
        <v>326.75</v>
      </c>
      <c r="N141" s="11"/>
      <c r="O141" s="11">
        <f t="shared" si="11"/>
        <v>0</v>
      </c>
      <c r="P141" s="146">
        <f t="shared" si="12"/>
        <v>326.75</v>
      </c>
    </row>
    <row r="142" spans="1:16" x14ac:dyDescent="0.25">
      <c r="A142" s="22" t="s">
        <v>187</v>
      </c>
      <c r="B142" s="86">
        <v>45962</v>
      </c>
      <c r="C142" s="22" t="s">
        <v>460</v>
      </c>
      <c r="D142" s="23" t="s">
        <v>11</v>
      </c>
      <c r="E142" s="99">
        <v>769</v>
      </c>
      <c r="F142" s="99"/>
      <c r="G142" s="99"/>
      <c r="H142" s="67"/>
      <c r="I142" s="67">
        <f t="shared" si="9"/>
        <v>769</v>
      </c>
      <c r="J142" s="107" t="s">
        <v>236</v>
      </c>
      <c r="K142" s="107">
        <v>76</v>
      </c>
      <c r="L142" s="11"/>
      <c r="M142" s="11">
        <f t="shared" si="10"/>
        <v>117.31</v>
      </c>
      <c r="N142" s="11"/>
      <c r="O142" s="11">
        <f t="shared" si="11"/>
        <v>0</v>
      </c>
      <c r="P142" s="146">
        <f t="shared" si="12"/>
        <v>117.31</v>
      </c>
    </row>
    <row r="143" spans="1:16" x14ac:dyDescent="0.25">
      <c r="A143" s="22" t="s">
        <v>187</v>
      </c>
      <c r="B143" s="86">
        <v>45992</v>
      </c>
      <c r="C143" s="22" t="s">
        <v>495</v>
      </c>
      <c r="D143" s="23" t="s">
        <v>11</v>
      </c>
      <c r="E143" s="99">
        <v>760</v>
      </c>
      <c r="F143" s="99"/>
      <c r="G143" s="99"/>
      <c r="H143" s="67"/>
      <c r="I143" s="67">
        <f t="shared" si="9"/>
        <v>760</v>
      </c>
      <c r="J143" s="107" t="s">
        <v>236</v>
      </c>
      <c r="K143" s="107">
        <v>46</v>
      </c>
      <c r="L143" s="11"/>
      <c r="M143" s="11">
        <f t="shared" si="10"/>
        <v>115.93</v>
      </c>
      <c r="N143" s="11"/>
      <c r="O143" s="11">
        <f t="shared" si="11"/>
        <v>0</v>
      </c>
      <c r="P143" s="146">
        <f t="shared" si="12"/>
        <v>115.93</v>
      </c>
    </row>
    <row r="144" spans="1:16" hidden="1" x14ac:dyDescent="0.25">
      <c r="A144" s="22" t="s">
        <v>629</v>
      </c>
      <c r="B144" s="86">
        <v>46042</v>
      </c>
      <c r="C144" s="22" t="s">
        <v>630</v>
      </c>
      <c r="D144" s="23" t="s">
        <v>243</v>
      </c>
      <c r="E144" s="73"/>
      <c r="F144" s="73">
        <v>7965</v>
      </c>
      <c r="G144" s="130"/>
      <c r="H144" s="130"/>
      <c r="I144" s="67">
        <f>+E144+F144-H144-G144</f>
        <v>7965</v>
      </c>
      <c r="J144" s="109" t="s">
        <v>631</v>
      </c>
      <c r="K144" s="64"/>
      <c r="L144" s="11"/>
      <c r="M144" s="11">
        <f t="shared" si="10"/>
        <v>1215</v>
      </c>
      <c r="N144" s="11"/>
      <c r="O144" s="11">
        <f t="shared" si="11"/>
        <v>0</v>
      </c>
      <c r="P144" s="146">
        <f t="shared" si="12"/>
        <v>1215</v>
      </c>
    </row>
    <row r="145" spans="1:16" hidden="1" x14ac:dyDescent="0.25">
      <c r="A145" s="22" t="s">
        <v>320</v>
      </c>
      <c r="B145" s="86">
        <v>46027</v>
      </c>
      <c r="C145" s="22" t="s">
        <v>574</v>
      </c>
      <c r="D145" s="23" t="s">
        <v>113</v>
      </c>
      <c r="E145" s="73">
        <v>141600</v>
      </c>
      <c r="F145" s="73"/>
      <c r="G145" s="73"/>
      <c r="H145" s="73"/>
      <c r="I145" s="67">
        <f t="shared" ref="I145" si="13">+E145+F145-H145-G145</f>
        <v>141600</v>
      </c>
      <c r="J145" s="107" t="s">
        <v>575</v>
      </c>
      <c r="K145" s="64">
        <v>11</v>
      </c>
      <c r="L145" s="11"/>
      <c r="M145" s="11">
        <f t="shared" si="10"/>
        <v>21600</v>
      </c>
      <c r="N145" s="11"/>
      <c r="O145" s="11">
        <f t="shared" si="11"/>
        <v>0</v>
      </c>
      <c r="P145" s="146">
        <f t="shared" si="12"/>
        <v>21600</v>
      </c>
    </row>
    <row r="146" spans="1:16" x14ac:dyDescent="0.25">
      <c r="A146" s="17" t="s">
        <v>36</v>
      </c>
      <c r="B146" s="88">
        <v>45896</v>
      </c>
      <c r="C146" s="17" t="s">
        <v>286</v>
      </c>
      <c r="D146" s="23" t="s">
        <v>287</v>
      </c>
      <c r="E146" s="73">
        <v>1593</v>
      </c>
      <c r="F146" s="73"/>
      <c r="G146" s="73"/>
      <c r="H146" s="74"/>
      <c r="I146" s="67">
        <f>+E146+F146-H146-G146</f>
        <v>1593</v>
      </c>
      <c r="J146" s="17" t="s">
        <v>120</v>
      </c>
      <c r="K146" s="106">
        <v>142</v>
      </c>
      <c r="L146" s="11"/>
      <c r="M146" s="11">
        <f t="shared" si="10"/>
        <v>243</v>
      </c>
      <c r="N146" s="11"/>
      <c r="O146" s="11">
        <f t="shared" si="11"/>
        <v>0</v>
      </c>
      <c r="P146" s="146">
        <f t="shared" si="12"/>
        <v>243</v>
      </c>
    </row>
    <row r="147" spans="1:16" x14ac:dyDescent="0.25">
      <c r="A147" s="22" t="s">
        <v>115</v>
      </c>
      <c r="B147" s="88">
        <v>45938</v>
      </c>
      <c r="C147" s="17" t="s">
        <v>417</v>
      </c>
      <c r="D147" s="23" t="s">
        <v>11</v>
      </c>
      <c r="E147" s="99">
        <v>1160</v>
      </c>
      <c r="F147" s="99"/>
      <c r="G147" s="99"/>
      <c r="H147" s="67"/>
      <c r="I147" s="67">
        <f>+E147+F147-H147-G147</f>
        <v>1160</v>
      </c>
      <c r="J147" s="87" t="s">
        <v>120</v>
      </c>
      <c r="K147" s="106">
        <v>100</v>
      </c>
      <c r="L147" s="11"/>
      <c r="M147" s="11">
        <f t="shared" si="10"/>
        <v>176.95</v>
      </c>
      <c r="N147" s="11"/>
      <c r="O147" s="11">
        <f t="shared" si="11"/>
        <v>0</v>
      </c>
      <c r="P147" s="146">
        <f t="shared" si="12"/>
        <v>176.95</v>
      </c>
    </row>
    <row r="148" spans="1:16" x14ac:dyDescent="0.25">
      <c r="A148" s="22" t="s">
        <v>115</v>
      </c>
      <c r="B148" s="88">
        <v>46001</v>
      </c>
      <c r="C148" s="17" t="s">
        <v>505</v>
      </c>
      <c r="D148" s="23" t="s">
        <v>11</v>
      </c>
      <c r="E148" s="99">
        <v>1160</v>
      </c>
      <c r="F148" s="99"/>
      <c r="G148" s="99"/>
      <c r="H148" s="67"/>
      <c r="I148" s="67">
        <f>+E148+F148-H148-G148</f>
        <v>1160</v>
      </c>
      <c r="J148" s="87" t="s">
        <v>120</v>
      </c>
      <c r="K148" s="106">
        <v>37</v>
      </c>
      <c r="L148" s="11"/>
      <c r="M148" s="11">
        <f t="shared" si="10"/>
        <v>176.95</v>
      </c>
      <c r="N148" s="11"/>
      <c r="O148" s="11">
        <f t="shared" si="11"/>
        <v>0</v>
      </c>
      <c r="P148" s="146">
        <f t="shared" si="12"/>
        <v>176.95</v>
      </c>
    </row>
    <row r="149" spans="1:16" hidden="1" x14ac:dyDescent="0.25">
      <c r="A149" s="22" t="s">
        <v>588</v>
      </c>
      <c r="B149" s="88">
        <v>46032</v>
      </c>
      <c r="C149" s="17" t="s">
        <v>589</v>
      </c>
      <c r="D149" s="23" t="s">
        <v>184</v>
      </c>
      <c r="E149" s="99">
        <v>5045</v>
      </c>
      <c r="F149" s="99"/>
      <c r="G149" s="99"/>
      <c r="H149" s="67"/>
      <c r="I149" s="67">
        <f>+E149+F149-H149-G149</f>
        <v>5045</v>
      </c>
      <c r="J149" s="87" t="s">
        <v>120</v>
      </c>
      <c r="K149" s="106">
        <v>6</v>
      </c>
      <c r="L149" s="11"/>
      <c r="M149" s="11">
        <f t="shared" si="10"/>
        <v>769.58</v>
      </c>
      <c r="N149" s="11"/>
      <c r="O149" s="11">
        <f t="shared" si="11"/>
        <v>0</v>
      </c>
      <c r="P149" s="146">
        <f t="shared" si="12"/>
        <v>769.58</v>
      </c>
    </row>
    <row r="150" spans="1:16" hidden="1" x14ac:dyDescent="0.25">
      <c r="A150" s="22" t="s">
        <v>590</v>
      </c>
      <c r="B150" s="88">
        <v>46032</v>
      </c>
      <c r="C150" s="17" t="s">
        <v>591</v>
      </c>
      <c r="D150" s="23" t="s">
        <v>184</v>
      </c>
      <c r="E150" s="99">
        <v>5045</v>
      </c>
      <c r="F150" s="99"/>
      <c r="G150" s="99"/>
      <c r="H150" s="67">
        <v>5045</v>
      </c>
      <c r="I150" s="67">
        <f>+E150+F150-H150-G150</f>
        <v>0</v>
      </c>
      <c r="J150" s="87" t="s">
        <v>120</v>
      </c>
      <c r="K150" s="106">
        <v>6</v>
      </c>
      <c r="L150" s="11"/>
      <c r="M150" s="11">
        <f t="shared" si="10"/>
        <v>0</v>
      </c>
      <c r="N150" s="11"/>
      <c r="O150" s="11">
        <f t="shared" si="11"/>
        <v>0</v>
      </c>
      <c r="P150" s="146">
        <f t="shared" si="12"/>
        <v>0</v>
      </c>
    </row>
    <row r="151" spans="1:16" ht="15.75" thickBot="1" x14ac:dyDescent="0.3">
      <c r="A151" s="19" t="s">
        <v>45</v>
      </c>
      <c r="B151" s="31"/>
      <c r="C151" s="19"/>
      <c r="D151" s="21"/>
      <c r="E151" s="129">
        <f>SUM(E2:E150)</f>
        <v>2911229</v>
      </c>
      <c r="F151" s="129">
        <f>SUM(F2:F150)</f>
        <v>1376194</v>
      </c>
      <c r="G151" s="129">
        <f>SUM(G2:G150)</f>
        <v>41771</v>
      </c>
      <c r="H151" s="129">
        <f>SUM(H2:H150)</f>
        <v>433910</v>
      </c>
      <c r="I151" s="129">
        <f>SUM(I2:I150)</f>
        <v>3811742</v>
      </c>
      <c r="J151" s="70"/>
      <c r="K151" s="19"/>
    </row>
  </sheetData>
  <autoFilter ref="A1:O151">
    <filterColumn colId="1">
      <filters blank="1">
        <dateGroupItem year="2025" dateTimeGrouping="year"/>
      </filters>
    </filterColumn>
    <filterColumn colId="8">
      <filters>
        <filter val="1005.00"/>
        <filter val="102.00"/>
        <filter val="10217.00"/>
        <filter val="11595.00"/>
        <filter val="1160.00"/>
        <filter val="12192.00"/>
        <filter val="12573.00"/>
        <filter val="13861.00"/>
        <filter val="1397.00"/>
        <filter val="14160.00"/>
        <filter val="14754.00"/>
        <filter val="1593.00"/>
        <filter val="16150.00"/>
        <filter val="16738.00"/>
        <filter val="16908.00"/>
        <filter val="19295.00"/>
        <filter val="19357.00"/>
        <filter val="19985.00"/>
        <filter val="20076.00"/>
        <filter val="208152.00"/>
        <filter val="2142.00"/>
        <filter val="2146.00"/>
        <filter val="21701.00"/>
        <filter val="22456.00"/>
        <filter val="22683.00"/>
        <filter val="22962.00"/>
        <filter val="2360.00"/>
        <filter val="23925.00"/>
        <filter val="24191.00"/>
        <filter val="24418.00"/>
        <filter val="28296.00"/>
        <filter val="28674.00"/>
        <filter val="30680.00"/>
        <filter val="3320.00"/>
        <filter val="34250.00"/>
        <filter val="3629.00"/>
        <filter val="3682.00"/>
        <filter val="38,11,742.00"/>
        <filter val="3880.00"/>
        <filter val="435.00"/>
        <filter val="4474.00"/>
        <filter val="4477.00"/>
        <filter val="4515.00"/>
        <filter val="4592.00"/>
        <filter val="46.00"/>
        <filter val="475.00"/>
        <filter val="4775.00"/>
        <filter val="491.00"/>
        <filter val="500.00"/>
        <filter val="50388.00"/>
        <filter val="5040.00"/>
        <filter val="5089.00"/>
        <filter val="52038.00"/>
        <filter val="5294.00"/>
        <filter val="5496.00"/>
        <filter val="57835.00"/>
        <filter val="5843.00"/>
        <filter val="5900.00"/>
        <filter val="59377.00"/>
        <filter val="6282.00"/>
        <filter val="6338.00"/>
        <filter val="6372.00"/>
        <filter val="6457.00"/>
        <filter val="760.00"/>
        <filter val="769.00"/>
        <filter val="8239.00"/>
        <filter val="8260.00"/>
        <filter val="91607.00"/>
        <filter val="9381.00"/>
        <filter val="94551.00"/>
        <filter val="9558.00"/>
        <filter val="9680.00"/>
        <filter val="98530.00"/>
      </filters>
    </filterColumn>
  </autoFilter>
  <pageMargins left="0.70866141732283472" right="0.70866141732283472" top="0.74803149606299213" bottom="0.74803149606299213" header="0.31496062992125984" footer="0.31496062992125984"/>
  <pageSetup paperSize="9" scale="6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142"/>
  <sheetViews>
    <sheetView workbookViewId="0">
      <pane xSplit="2" ySplit="1" topLeftCell="H2" activePane="bottomRight" state="frozen"/>
      <selection pane="topRight" activeCell="C1" sqref="C1"/>
      <selection pane="bottomLeft" activeCell="A2" sqref="A2"/>
      <selection pane="bottomRight" activeCell="J17" sqref="J17"/>
    </sheetView>
  </sheetViews>
  <sheetFormatPr defaultRowHeight="15" x14ac:dyDescent="0.25"/>
  <cols>
    <col min="1" max="1" width="75.42578125" bestFit="1" customWidth="1"/>
    <col min="2" max="2" width="10.140625" bestFit="1" customWidth="1"/>
    <col min="3" max="3" width="12.28515625" bestFit="1" customWidth="1"/>
    <col min="4" max="4" width="42.140625" bestFit="1" customWidth="1"/>
    <col min="5" max="5" width="27.28515625" bestFit="1" customWidth="1"/>
    <col min="6" max="6" width="14.7109375" bestFit="1" customWidth="1"/>
    <col min="7" max="7" width="11.85546875" bestFit="1" customWidth="1"/>
    <col min="8" max="8" width="9.5703125" bestFit="1" customWidth="1"/>
    <col min="9" max="11" width="14.7109375" customWidth="1"/>
    <col min="12" max="12" width="14.7109375" style="2" customWidth="1"/>
    <col min="13" max="13" width="37" bestFit="1" customWidth="1"/>
  </cols>
  <sheetData>
    <row r="1" spans="1:13" ht="63.75" x14ac:dyDescent="0.25">
      <c r="A1" s="49" t="s">
        <v>0</v>
      </c>
      <c r="B1" s="50" t="s">
        <v>1</v>
      </c>
      <c r="C1" s="51" t="s">
        <v>2</v>
      </c>
      <c r="D1" s="52" t="s">
        <v>3</v>
      </c>
      <c r="E1" s="49" t="s">
        <v>349</v>
      </c>
      <c r="F1" s="53" t="s">
        <v>31</v>
      </c>
      <c r="G1" s="49" t="s">
        <v>32</v>
      </c>
      <c r="H1" s="49" t="s">
        <v>376</v>
      </c>
      <c r="I1" s="49" t="s">
        <v>377</v>
      </c>
      <c r="J1" s="49" t="s">
        <v>378</v>
      </c>
      <c r="K1" s="49" t="s">
        <v>379</v>
      </c>
      <c r="L1" s="125" t="s">
        <v>380</v>
      </c>
      <c r="M1" s="54" t="s">
        <v>4</v>
      </c>
    </row>
    <row r="2" spans="1:13" hidden="1" x14ac:dyDescent="0.25">
      <c r="A2" s="17" t="s">
        <v>347</v>
      </c>
      <c r="B2" s="88">
        <v>45922</v>
      </c>
      <c r="C2" s="17" t="s">
        <v>348</v>
      </c>
      <c r="D2" s="23" t="s">
        <v>22</v>
      </c>
      <c r="E2" s="99">
        <v>10853</v>
      </c>
      <c r="F2" s="99"/>
      <c r="G2" s="99">
        <v>10853</v>
      </c>
      <c r="H2" s="122">
        <f>+E2+F2-G2</f>
        <v>0</v>
      </c>
      <c r="I2" s="67">
        <f>+H2*0.152542372881356</f>
        <v>0</v>
      </c>
      <c r="J2" s="67">
        <v>0</v>
      </c>
      <c r="K2" s="67">
        <f>+J2*18%</f>
        <v>0</v>
      </c>
      <c r="L2" s="126">
        <f>+I2-K2</f>
        <v>0</v>
      </c>
      <c r="M2" s="17" t="s">
        <v>28</v>
      </c>
    </row>
    <row r="3" spans="1:13" x14ac:dyDescent="0.25">
      <c r="A3" s="134" t="s">
        <v>17</v>
      </c>
      <c r="B3" s="86">
        <v>45866</v>
      </c>
      <c r="C3" s="22" t="s">
        <v>224</v>
      </c>
      <c r="D3" s="23" t="s">
        <v>18</v>
      </c>
      <c r="E3" s="99">
        <v>28320</v>
      </c>
      <c r="F3" s="99"/>
      <c r="G3" s="67"/>
      <c r="H3" s="122">
        <f t="shared" ref="H3:H66" si="0">+E3+F3-G3</f>
        <v>28320</v>
      </c>
      <c r="I3" s="67">
        <f t="shared" ref="I3:I66" si="1">+H3*0.152542372881356</f>
        <v>4320.0000000000018</v>
      </c>
      <c r="J3" s="67">
        <v>0</v>
      </c>
      <c r="K3" s="67">
        <f t="shared" ref="K3:K66" si="2">+J3*18%</f>
        <v>0</v>
      </c>
      <c r="L3" s="126">
        <f t="shared" ref="L3:L66" si="3">+I3-K3</f>
        <v>4320.0000000000018</v>
      </c>
      <c r="M3" s="17" t="s">
        <v>8</v>
      </c>
    </row>
    <row r="4" spans="1:13" x14ac:dyDescent="0.25">
      <c r="A4" s="134" t="s">
        <v>119</v>
      </c>
      <c r="B4" s="86">
        <v>45880</v>
      </c>
      <c r="C4" s="22" t="s">
        <v>238</v>
      </c>
      <c r="D4" s="23" t="s">
        <v>7</v>
      </c>
      <c r="E4" s="99">
        <v>3956</v>
      </c>
      <c r="F4" s="99"/>
      <c r="G4" s="67"/>
      <c r="H4" s="67">
        <f t="shared" si="0"/>
        <v>3956</v>
      </c>
      <c r="I4" s="67">
        <f t="shared" si="1"/>
        <v>603.45762711864438</v>
      </c>
      <c r="J4" s="67">
        <f>23697.69*3956/33376</f>
        <v>2808.8465256471718</v>
      </c>
      <c r="K4" s="67">
        <f t="shared" si="2"/>
        <v>505.59237461649093</v>
      </c>
      <c r="L4" s="126">
        <f t="shared" si="3"/>
        <v>97.865252502153453</v>
      </c>
      <c r="M4" s="17" t="s">
        <v>8</v>
      </c>
    </row>
    <row r="5" spans="1:13" x14ac:dyDescent="0.25">
      <c r="A5" s="134" t="s">
        <v>17</v>
      </c>
      <c r="B5" s="86">
        <v>45901</v>
      </c>
      <c r="C5" s="22" t="s">
        <v>297</v>
      </c>
      <c r="D5" s="23" t="s">
        <v>18</v>
      </c>
      <c r="E5" s="99">
        <v>500</v>
      </c>
      <c r="F5" s="99"/>
      <c r="G5" s="67"/>
      <c r="H5" s="122">
        <f t="shared" si="0"/>
        <v>500</v>
      </c>
      <c r="I5" s="67">
        <f t="shared" si="1"/>
        <v>76.271186440677994</v>
      </c>
      <c r="J5" s="67">
        <v>0</v>
      </c>
      <c r="K5" s="67">
        <f t="shared" si="2"/>
        <v>0</v>
      </c>
      <c r="L5" s="126">
        <f t="shared" si="3"/>
        <v>76.271186440677994</v>
      </c>
      <c r="M5" s="17" t="s">
        <v>8</v>
      </c>
    </row>
    <row r="6" spans="1:13" x14ac:dyDescent="0.25">
      <c r="A6" s="134" t="s">
        <v>119</v>
      </c>
      <c r="B6" s="86">
        <v>45911</v>
      </c>
      <c r="C6" s="22" t="s">
        <v>303</v>
      </c>
      <c r="D6" s="23" t="s">
        <v>7</v>
      </c>
      <c r="E6" s="99">
        <v>20982</v>
      </c>
      <c r="F6" s="99"/>
      <c r="G6" s="67"/>
      <c r="H6" s="67">
        <f t="shared" si="0"/>
        <v>20982</v>
      </c>
      <c r="I6" s="67">
        <f t="shared" si="1"/>
        <v>3200.6440677966116</v>
      </c>
      <c r="J6" s="67">
        <v>14920.37</v>
      </c>
      <c r="K6" s="67">
        <f t="shared" si="2"/>
        <v>2685.6666</v>
      </c>
      <c r="L6" s="126">
        <f t="shared" si="3"/>
        <v>514.97746779661156</v>
      </c>
      <c r="M6" s="17" t="s">
        <v>8</v>
      </c>
    </row>
    <row r="7" spans="1:13" hidden="1" x14ac:dyDescent="0.25">
      <c r="A7" s="22" t="s">
        <v>373</v>
      </c>
      <c r="B7" s="86">
        <v>45933</v>
      </c>
      <c r="C7" s="22" t="s">
        <v>374</v>
      </c>
      <c r="D7" s="23" t="s">
        <v>11</v>
      </c>
      <c r="E7" s="99"/>
      <c r="F7" s="99">
        <v>28701</v>
      </c>
      <c r="G7" s="67">
        <v>1980</v>
      </c>
      <c r="H7" s="122">
        <f t="shared" si="0"/>
        <v>26721</v>
      </c>
      <c r="I7" s="67">
        <f t="shared" si="1"/>
        <v>4076.0847457627137</v>
      </c>
      <c r="J7" s="67">
        <v>0</v>
      </c>
      <c r="K7" s="67">
        <f t="shared" si="2"/>
        <v>0</v>
      </c>
      <c r="L7" s="126">
        <f t="shared" si="3"/>
        <v>4076.0847457627137</v>
      </c>
      <c r="M7" s="17" t="s">
        <v>8</v>
      </c>
    </row>
    <row r="8" spans="1:13" x14ac:dyDescent="0.25">
      <c r="A8" s="134" t="s">
        <v>21</v>
      </c>
      <c r="B8" s="86">
        <v>45818</v>
      </c>
      <c r="C8" s="22" t="s">
        <v>143</v>
      </c>
      <c r="D8" s="23" t="s">
        <v>7</v>
      </c>
      <c r="E8" s="99">
        <v>5581</v>
      </c>
      <c r="F8" s="99"/>
      <c r="G8" s="67"/>
      <c r="H8" s="122">
        <f t="shared" si="0"/>
        <v>5581</v>
      </c>
      <c r="I8" s="67">
        <f t="shared" si="1"/>
        <v>851.33898305084779</v>
      </c>
      <c r="J8" s="71">
        <v>3895.72</v>
      </c>
      <c r="K8" s="67">
        <f t="shared" si="2"/>
        <v>701.22959999999989</v>
      </c>
      <c r="L8" s="126">
        <f t="shared" si="3"/>
        <v>150.1093830508479</v>
      </c>
      <c r="M8" s="25" t="s">
        <v>12</v>
      </c>
    </row>
    <row r="9" spans="1:13" x14ac:dyDescent="0.25">
      <c r="A9" s="134" t="s">
        <v>196</v>
      </c>
      <c r="B9" s="86">
        <v>45849</v>
      </c>
      <c r="C9" s="22" t="s">
        <v>199</v>
      </c>
      <c r="D9" s="23" t="s">
        <v>7</v>
      </c>
      <c r="E9" s="99">
        <v>67757</v>
      </c>
      <c r="F9" s="99"/>
      <c r="G9" s="67"/>
      <c r="H9" s="122">
        <f t="shared" si="0"/>
        <v>67757</v>
      </c>
      <c r="I9" s="67">
        <f t="shared" si="1"/>
        <v>10335.813559322038</v>
      </c>
      <c r="J9" s="71">
        <v>48194.28</v>
      </c>
      <c r="K9" s="67">
        <f t="shared" si="2"/>
        <v>8674.9704000000002</v>
      </c>
      <c r="L9" s="126">
        <f t="shared" si="3"/>
        <v>1660.8431593220375</v>
      </c>
      <c r="M9" s="25" t="s">
        <v>12</v>
      </c>
    </row>
    <row r="10" spans="1:13" x14ac:dyDescent="0.25">
      <c r="A10" s="134" t="s">
        <v>21</v>
      </c>
      <c r="B10" s="86">
        <v>45850</v>
      </c>
      <c r="C10" s="22" t="s">
        <v>205</v>
      </c>
      <c r="D10" s="23" t="s">
        <v>7</v>
      </c>
      <c r="E10" s="99">
        <v>5461</v>
      </c>
      <c r="F10" s="99"/>
      <c r="G10" s="67"/>
      <c r="H10" s="122">
        <f t="shared" si="0"/>
        <v>5461</v>
      </c>
      <c r="I10" s="67">
        <f t="shared" si="1"/>
        <v>833.03389830508513</v>
      </c>
      <c r="J10" s="71">
        <v>3969.97</v>
      </c>
      <c r="K10" s="67">
        <f t="shared" si="2"/>
        <v>714.5945999999999</v>
      </c>
      <c r="L10" s="126">
        <f t="shared" si="3"/>
        <v>118.43929830508523</v>
      </c>
      <c r="M10" s="25" t="s">
        <v>12</v>
      </c>
    </row>
    <row r="11" spans="1:13" x14ac:dyDescent="0.25">
      <c r="A11" s="134" t="s">
        <v>216</v>
      </c>
      <c r="B11" s="86">
        <v>45861</v>
      </c>
      <c r="C11" s="22" t="s">
        <v>217</v>
      </c>
      <c r="D11" s="23" t="s">
        <v>123</v>
      </c>
      <c r="E11" s="99">
        <v>1421</v>
      </c>
      <c r="F11" s="99"/>
      <c r="G11" s="67"/>
      <c r="H11" s="122">
        <f t="shared" si="0"/>
        <v>1421</v>
      </c>
      <c r="I11" s="67">
        <f t="shared" si="1"/>
        <v>216.76271186440687</v>
      </c>
      <c r="J11" s="67">
        <v>1080</v>
      </c>
      <c r="K11" s="67">
        <f t="shared" si="2"/>
        <v>194.4</v>
      </c>
      <c r="L11" s="126">
        <f t="shared" si="3"/>
        <v>22.362711864406862</v>
      </c>
      <c r="M11" s="17" t="s">
        <v>12</v>
      </c>
    </row>
    <row r="12" spans="1:13" hidden="1" x14ac:dyDescent="0.25">
      <c r="A12" s="134" t="s">
        <v>201</v>
      </c>
      <c r="B12" s="86">
        <v>45880</v>
      </c>
      <c r="C12" s="22" t="s">
        <v>239</v>
      </c>
      <c r="D12" s="23" t="s">
        <v>7</v>
      </c>
      <c r="E12" s="99">
        <v>1498</v>
      </c>
      <c r="F12" s="99"/>
      <c r="G12" s="67">
        <v>1498</v>
      </c>
      <c r="H12" s="122">
        <f t="shared" si="0"/>
        <v>0</v>
      </c>
      <c r="I12" s="67">
        <f t="shared" si="1"/>
        <v>0</v>
      </c>
      <c r="J12" s="67">
        <v>0</v>
      </c>
      <c r="K12" s="67">
        <f t="shared" si="2"/>
        <v>0</v>
      </c>
      <c r="L12" s="126">
        <f t="shared" si="3"/>
        <v>0</v>
      </c>
      <c r="M12" s="17" t="s">
        <v>12</v>
      </c>
    </row>
    <row r="13" spans="1:13" x14ac:dyDescent="0.25">
      <c r="A13" s="134" t="s">
        <v>196</v>
      </c>
      <c r="B13" s="86">
        <v>45880</v>
      </c>
      <c r="C13" s="22" t="s">
        <v>240</v>
      </c>
      <c r="D13" s="23" t="s">
        <v>7</v>
      </c>
      <c r="E13" s="99">
        <v>59183</v>
      </c>
      <c r="F13" s="99"/>
      <c r="G13" s="67"/>
      <c r="H13" s="122">
        <f t="shared" si="0"/>
        <v>59183</v>
      </c>
      <c r="I13" s="67">
        <f t="shared" si="1"/>
        <v>9027.9152542372922</v>
      </c>
      <c r="J13" s="67">
        <v>42021.18</v>
      </c>
      <c r="K13" s="67">
        <f t="shared" si="2"/>
        <v>7563.8123999999998</v>
      </c>
      <c r="L13" s="126">
        <f t="shared" si="3"/>
        <v>1464.1028542372924</v>
      </c>
      <c r="M13" s="17" t="s">
        <v>12</v>
      </c>
    </row>
    <row r="14" spans="1:13" x14ac:dyDescent="0.25">
      <c r="A14" s="134" t="s">
        <v>21</v>
      </c>
      <c r="B14" s="86">
        <v>45880</v>
      </c>
      <c r="C14" s="22" t="s">
        <v>241</v>
      </c>
      <c r="D14" s="23" t="s">
        <v>7</v>
      </c>
      <c r="E14" s="99">
        <v>5641</v>
      </c>
      <c r="F14" s="99"/>
      <c r="G14" s="67"/>
      <c r="H14" s="122">
        <f t="shared" si="0"/>
        <v>5641</v>
      </c>
      <c r="I14" s="67">
        <f t="shared" si="1"/>
        <v>860.49152542372917</v>
      </c>
      <c r="J14" s="67">
        <v>3888.65</v>
      </c>
      <c r="K14" s="67">
        <f t="shared" si="2"/>
        <v>699.95699999999999</v>
      </c>
      <c r="L14" s="126">
        <f t="shared" si="3"/>
        <v>160.53452542372918</v>
      </c>
      <c r="M14" s="17" t="s">
        <v>12</v>
      </c>
    </row>
    <row r="15" spans="1:13" hidden="1" x14ac:dyDescent="0.25">
      <c r="A15" s="22" t="s">
        <v>230</v>
      </c>
      <c r="B15" s="86">
        <v>45881</v>
      </c>
      <c r="C15" s="22" t="s">
        <v>242</v>
      </c>
      <c r="D15" s="23" t="s">
        <v>243</v>
      </c>
      <c r="E15" s="99">
        <v>7965</v>
      </c>
      <c r="F15" s="99"/>
      <c r="G15" s="67">
        <v>7965</v>
      </c>
      <c r="H15" s="122">
        <f t="shared" si="0"/>
        <v>0</v>
      </c>
      <c r="I15" s="67">
        <f t="shared" si="1"/>
        <v>0</v>
      </c>
      <c r="J15" s="67">
        <v>0</v>
      </c>
      <c r="K15" s="67">
        <f t="shared" si="2"/>
        <v>0</v>
      </c>
      <c r="L15" s="126">
        <f t="shared" si="3"/>
        <v>0</v>
      </c>
      <c r="M15" s="17" t="s">
        <v>12</v>
      </c>
    </row>
    <row r="16" spans="1:13" x14ac:dyDescent="0.25">
      <c r="A16" s="134" t="s">
        <v>223</v>
      </c>
      <c r="B16" s="86">
        <v>45881</v>
      </c>
      <c r="C16" s="22" t="s">
        <v>245</v>
      </c>
      <c r="D16" s="23" t="s">
        <v>184</v>
      </c>
      <c r="E16" s="99">
        <v>5310</v>
      </c>
      <c r="F16" s="99"/>
      <c r="G16" s="67"/>
      <c r="H16" s="122">
        <f t="shared" si="0"/>
        <v>5310</v>
      </c>
      <c r="I16" s="67">
        <f t="shared" si="1"/>
        <v>810.00000000000034</v>
      </c>
      <c r="J16" s="67">
        <v>4248</v>
      </c>
      <c r="K16" s="67">
        <f t="shared" si="2"/>
        <v>764.64</v>
      </c>
      <c r="L16" s="126">
        <f t="shared" si="3"/>
        <v>45.360000000000355</v>
      </c>
      <c r="M16" s="17" t="s">
        <v>12</v>
      </c>
    </row>
    <row r="17" spans="1:13" x14ac:dyDescent="0.25">
      <c r="A17" s="134" t="s">
        <v>216</v>
      </c>
      <c r="B17" s="86">
        <v>45887</v>
      </c>
      <c r="C17" s="22" t="s">
        <v>277</v>
      </c>
      <c r="D17" s="23" t="s">
        <v>123</v>
      </c>
      <c r="E17" s="99">
        <v>1421</v>
      </c>
      <c r="F17" s="99"/>
      <c r="G17" s="67"/>
      <c r="H17" s="122">
        <f t="shared" si="0"/>
        <v>1421</v>
      </c>
      <c r="I17" s="67">
        <f t="shared" si="1"/>
        <v>216.76271186440687</v>
      </c>
      <c r="J17" s="67">
        <v>1080</v>
      </c>
      <c r="K17" s="67">
        <f t="shared" si="2"/>
        <v>194.4</v>
      </c>
      <c r="L17" s="126">
        <f t="shared" si="3"/>
        <v>22.362711864406862</v>
      </c>
      <c r="M17" s="17" t="s">
        <v>12</v>
      </c>
    </row>
    <row r="18" spans="1:13" hidden="1" x14ac:dyDescent="0.25">
      <c r="A18" s="17" t="s">
        <v>288</v>
      </c>
      <c r="B18" s="88">
        <v>45901</v>
      </c>
      <c r="C18" s="17" t="s">
        <v>298</v>
      </c>
      <c r="D18" s="17" t="s">
        <v>213</v>
      </c>
      <c r="E18" s="99">
        <v>29736</v>
      </c>
      <c r="F18" s="99"/>
      <c r="G18" s="67">
        <f>27258+2478</f>
        <v>29736</v>
      </c>
      <c r="H18" s="122">
        <f t="shared" si="0"/>
        <v>0</v>
      </c>
      <c r="I18" s="67">
        <f t="shared" si="1"/>
        <v>0</v>
      </c>
      <c r="J18" s="67">
        <v>0</v>
      </c>
      <c r="K18" s="67">
        <f t="shared" si="2"/>
        <v>0</v>
      </c>
      <c r="L18" s="126">
        <f t="shared" si="3"/>
        <v>0</v>
      </c>
      <c r="M18" s="17" t="s">
        <v>12</v>
      </c>
    </row>
    <row r="19" spans="1:13" hidden="1" x14ac:dyDescent="0.25">
      <c r="A19" s="17" t="s">
        <v>288</v>
      </c>
      <c r="B19" s="88">
        <v>45901</v>
      </c>
      <c r="C19" s="17" t="s">
        <v>298</v>
      </c>
      <c r="D19" s="17" t="s">
        <v>225</v>
      </c>
      <c r="E19" s="99">
        <v>25223</v>
      </c>
      <c r="F19" s="99"/>
      <c r="G19" s="67">
        <v>25223</v>
      </c>
      <c r="H19" s="122">
        <f t="shared" si="0"/>
        <v>0</v>
      </c>
      <c r="I19" s="67">
        <f t="shared" si="1"/>
        <v>0</v>
      </c>
      <c r="J19" s="67">
        <v>0</v>
      </c>
      <c r="K19" s="67">
        <f t="shared" si="2"/>
        <v>0</v>
      </c>
      <c r="L19" s="126">
        <f t="shared" si="3"/>
        <v>0</v>
      </c>
      <c r="M19" s="17" t="s">
        <v>12</v>
      </c>
    </row>
    <row r="20" spans="1:13" x14ac:dyDescent="0.25">
      <c r="A20" s="135" t="s">
        <v>299</v>
      </c>
      <c r="B20" s="88">
        <v>45904</v>
      </c>
      <c r="C20" s="17" t="s">
        <v>300</v>
      </c>
      <c r="D20" s="17" t="s">
        <v>13</v>
      </c>
      <c r="E20" s="99">
        <v>24360</v>
      </c>
      <c r="F20" s="99"/>
      <c r="G20" s="67">
        <v>406</v>
      </c>
      <c r="H20" s="122">
        <f t="shared" si="0"/>
        <v>23954</v>
      </c>
      <c r="I20" s="67">
        <f t="shared" si="1"/>
        <v>3654.0000000000014</v>
      </c>
      <c r="J20" s="67">
        <v>19488</v>
      </c>
      <c r="K20" s="67">
        <f t="shared" si="2"/>
        <v>3507.8399999999997</v>
      </c>
      <c r="L20" s="126">
        <f t="shared" si="3"/>
        <v>146.16000000000167</v>
      </c>
      <c r="M20" s="17" t="s">
        <v>12</v>
      </c>
    </row>
    <row r="21" spans="1:13" x14ac:dyDescent="0.25">
      <c r="A21" s="135" t="s">
        <v>216</v>
      </c>
      <c r="B21" s="88">
        <v>45908</v>
      </c>
      <c r="C21" s="17" t="s">
        <v>304</v>
      </c>
      <c r="D21" s="17" t="s">
        <v>123</v>
      </c>
      <c r="E21" s="99">
        <v>1421</v>
      </c>
      <c r="F21" s="99"/>
      <c r="G21" s="67"/>
      <c r="H21" s="122">
        <f t="shared" si="0"/>
        <v>1421</v>
      </c>
      <c r="I21" s="67">
        <f t="shared" si="1"/>
        <v>216.76271186440687</v>
      </c>
      <c r="J21" s="67">
        <v>1080</v>
      </c>
      <c r="K21" s="67">
        <f t="shared" si="2"/>
        <v>194.4</v>
      </c>
      <c r="L21" s="126">
        <f t="shared" si="3"/>
        <v>22.362711864406862</v>
      </c>
      <c r="M21" s="17" t="s">
        <v>12</v>
      </c>
    </row>
    <row r="22" spans="1:13" hidden="1" x14ac:dyDescent="0.25">
      <c r="A22" s="17" t="s">
        <v>190</v>
      </c>
      <c r="B22" s="88">
        <v>45908</v>
      </c>
      <c r="C22" s="17" t="s">
        <v>305</v>
      </c>
      <c r="D22" s="17" t="s">
        <v>289</v>
      </c>
      <c r="E22" s="99">
        <v>15134</v>
      </c>
      <c r="F22" s="99"/>
      <c r="G22" s="67">
        <v>15134</v>
      </c>
      <c r="H22" s="67">
        <f t="shared" si="0"/>
        <v>0</v>
      </c>
      <c r="I22" s="67">
        <f t="shared" si="1"/>
        <v>0</v>
      </c>
      <c r="J22" s="67">
        <v>0</v>
      </c>
      <c r="K22" s="67">
        <f t="shared" si="2"/>
        <v>0</v>
      </c>
      <c r="L22" s="126">
        <f t="shared" si="3"/>
        <v>0</v>
      </c>
      <c r="M22" s="17" t="s">
        <v>12</v>
      </c>
    </row>
    <row r="23" spans="1:13" hidden="1" x14ac:dyDescent="0.25">
      <c r="A23" s="121" t="s">
        <v>116</v>
      </c>
      <c r="B23" s="88">
        <v>45911</v>
      </c>
      <c r="C23" s="17" t="s">
        <v>306</v>
      </c>
      <c r="D23" s="17" t="s">
        <v>7</v>
      </c>
      <c r="E23" s="99">
        <v>16822</v>
      </c>
      <c r="F23" s="99"/>
      <c r="G23" s="67">
        <v>16822</v>
      </c>
      <c r="H23" s="122">
        <f t="shared" si="0"/>
        <v>0</v>
      </c>
      <c r="I23" s="67">
        <f t="shared" si="1"/>
        <v>0</v>
      </c>
      <c r="J23" s="67">
        <v>0</v>
      </c>
      <c r="K23" s="67">
        <f t="shared" si="2"/>
        <v>0</v>
      </c>
      <c r="L23" s="126">
        <f t="shared" si="3"/>
        <v>0</v>
      </c>
      <c r="M23" s="17" t="s">
        <v>12</v>
      </c>
    </row>
    <row r="24" spans="1:13" hidden="1" x14ac:dyDescent="0.25">
      <c r="A24" s="135" t="s">
        <v>201</v>
      </c>
      <c r="B24" s="88">
        <v>45911</v>
      </c>
      <c r="C24" s="17" t="s">
        <v>307</v>
      </c>
      <c r="D24" s="17" t="s">
        <v>7</v>
      </c>
      <c r="E24" s="99">
        <v>6290</v>
      </c>
      <c r="F24" s="99"/>
      <c r="G24" s="67">
        <v>6290</v>
      </c>
      <c r="H24" s="122">
        <f t="shared" si="0"/>
        <v>0</v>
      </c>
      <c r="I24" s="67">
        <f t="shared" si="1"/>
        <v>0</v>
      </c>
      <c r="J24" s="67">
        <v>0</v>
      </c>
      <c r="K24" s="67">
        <f t="shared" si="2"/>
        <v>0</v>
      </c>
      <c r="L24" s="126">
        <f t="shared" si="3"/>
        <v>0</v>
      </c>
      <c r="M24" s="17" t="s">
        <v>12</v>
      </c>
    </row>
    <row r="25" spans="1:13" x14ac:dyDescent="0.25">
      <c r="A25" s="135" t="s">
        <v>162</v>
      </c>
      <c r="B25" s="88">
        <v>45911</v>
      </c>
      <c r="C25" s="17" t="s">
        <v>308</v>
      </c>
      <c r="D25" s="17" t="s">
        <v>7</v>
      </c>
      <c r="E25" s="99">
        <v>14178</v>
      </c>
      <c r="F25" s="99"/>
      <c r="G25" s="67"/>
      <c r="H25" s="122">
        <f t="shared" si="0"/>
        <v>14178</v>
      </c>
      <c r="I25" s="67">
        <f t="shared" si="1"/>
        <v>2162.7457627118652</v>
      </c>
      <c r="J25" s="67">
        <v>10081.040000000001</v>
      </c>
      <c r="K25" s="67">
        <f t="shared" si="2"/>
        <v>1814.5872000000002</v>
      </c>
      <c r="L25" s="126">
        <f t="shared" si="3"/>
        <v>348.15856271186499</v>
      </c>
      <c r="M25" s="17" t="s">
        <v>12</v>
      </c>
    </row>
    <row r="26" spans="1:13" x14ac:dyDescent="0.25">
      <c r="A26" s="135" t="s">
        <v>196</v>
      </c>
      <c r="B26" s="88">
        <v>45911</v>
      </c>
      <c r="C26" s="17" t="s">
        <v>309</v>
      </c>
      <c r="D26" s="17" t="s">
        <v>7</v>
      </c>
      <c r="E26" s="99">
        <v>45635</v>
      </c>
      <c r="F26" s="99"/>
      <c r="G26" s="67"/>
      <c r="H26" s="122">
        <f t="shared" si="0"/>
        <v>45635</v>
      </c>
      <c r="I26" s="67">
        <f t="shared" si="1"/>
        <v>6961.271186440681</v>
      </c>
      <c r="J26" s="67">
        <v>32450.240000000002</v>
      </c>
      <c r="K26" s="67">
        <f t="shared" si="2"/>
        <v>5841.0432000000001</v>
      </c>
      <c r="L26" s="126">
        <f t="shared" si="3"/>
        <v>1120.227986440681</v>
      </c>
      <c r="M26" s="17" t="s">
        <v>12</v>
      </c>
    </row>
    <row r="27" spans="1:13" x14ac:dyDescent="0.25">
      <c r="A27" s="135" t="s">
        <v>19</v>
      </c>
      <c r="B27" s="88">
        <v>45911</v>
      </c>
      <c r="C27" s="17" t="s">
        <v>310</v>
      </c>
      <c r="D27" s="17" t="s">
        <v>7</v>
      </c>
      <c r="E27" s="99">
        <v>6223</v>
      </c>
      <c r="F27" s="99"/>
      <c r="G27" s="67"/>
      <c r="H27" s="122">
        <f t="shared" si="0"/>
        <v>6223</v>
      </c>
      <c r="I27" s="67">
        <f t="shared" si="1"/>
        <v>949.27118644067832</v>
      </c>
      <c r="J27" s="67">
        <v>4425.66</v>
      </c>
      <c r="K27" s="67">
        <f t="shared" si="2"/>
        <v>796.61879999999996</v>
      </c>
      <c r="L27" s="126">
        <f t="shared" si="3"/>
        <v>152.65238644067836</v>
      </c>
      <c r="M27" s="17" t="s">
        <v>12</v>
      </c>
    </row>
    <row r="28" spans="1:13" hidden="1" x14ac:dyDescent="0.25">
      <c r="A28" s="17" t="s">
        <v>29</v>
      </c>
      <c r="B28" s="88">
        <v>45911</v>
      </c>
      <c r="C28" s="17" t="s">
        <v>311</v>
      </c>
      <c r="D28" s="17" t="s">
        <v>7</v>
      </c>
      <c r="E28" s="99">
        <v>17211</v>
      </c>
      <c r="F28" s="99"/>
      <c r="G28" s="67">
        <v>17211</v>
      </c>
      <c r="H28" s="67">
        <f t="shared" si="0"/>
        <v>0</v>
      </c>
      <c r="I28" s="67">
        <f t="shared" si="1"/>
        <v>0</v>
      </c>
      <c r="J28" s="67">
        <v>0</v>
      </c>
      <c r="K28" s="67">
        <f t="shared" si="2"/>
        <v>0</v>
      </c>
      <c r="L28" s="126">
        <f t="shared" si="3"/>
        <v>0</v>
      </c>
      <c r="M28" s="17" t="s">
        <v>12</v>
      </c>
    </row>
    <row r="29" spans="1:13" x14ac:dyDescent="0.25">
      <c r="A29" s="135" t="s">
        <v>21</v>
      </c>
      <c r="B29" s="88">
        <v>45911</v>
      </c>
      <c r="C29" s="17" t="s">
        <v>312</v>
      </c>
      <c r="D29" s="17" t="s">
        <v>7</v>
      </c>
      <c r="E29" s="99">
        <v>5687</v>
      </c>
      <c r="F29" s="99"/>
      <c r="G29" s="67"/>
      <c r="H29" s="122">
        <f t="shared" si="0"/>
        <v>5687</v>
      </c>
      <c r="I29" s="67">
        <f t="shared" si="1"/>
        <v>867.50847457627151</v>
      </c>
      <c r="J29" s="67">
        <v>4005.61</v>
      </c>
      <c r="K29" s="67">
        <f t="shared" si="2"/>
        <v>721.00980000000004</v>
      </c>
      <c r="L29" s="126">
        <f t="shared" si="3"/>
        <v>146.49867457627147</v>
      </c>
      <c r="M29" s="17" t="s">
        <v>12</v>
      </c>
    </row>
    <row r="30" spans="1:13" hidden="1" x14ac:dyDescent="0.25">
      <c r="A30" s="135" t="s">
        <v>329</v>
      </c>
      <c r="B30" s="88">
        <v>45915</v>
      </c>
      <c r="C30" s="17" t="s">
        <v>330</v>
      </c>
      <c r="D30" s="17" t="s">
        <v>289</v>
      </c>
      <c r="E30" s="99">
        <v>15930</v>
      </c>
      <c r="F30" s="99"/>
      <c r="G30" s="67">
        <v>15930</v>
      </c>
      <c r="H30" s="122">
        <f t="shared" si="0"/>
        <v>0</v>
      </c>
      <c r="I30" s="67">
        <f t="shared" si="1"/>
        <v>0</v>
      </c>
      <c r="J30" s="67">
        <v>0</v>
      </c>
      <c r="K30" s="67">
        <f t="shared" si="2"/>
        <v>0</v>
      </c>
      <c r="L30" s="126">
        <f t="shared" si="3"/>
        <v>0</v>
      </c>
      <c r="M30" s="17" t="s">
        <v>12</v>
      </c>
    </row>
    <row r="31" spans="1:13" hidden="1" x14ac:dyDescent="0.25">
      <c r="A31" s="135" t="s">
        <v>302</v>
      </c>
      <c r="B31" s="88">
        <v>45915</v>
      </c>
      <c r="C31" s="17" t="s">
        <v>331</v>
      </c>
      <c r="D31" s="17" t="s">
        <v>184</v>
      </c>
      <c r="E31" s="99">
        <v>5310</v>
      </c>
      <c r="F31" s="99"/>
      <c r="G31" s="67">
        <v>5310</v>
      </c>
      <c r="H31" s="122">
        <f t="shared" si="0"/>
        <v>0</v>
      </c>
      <c r="I31" s="67">
        <f t="shared" si="1"/>
        <v>0</v>
      </c>
      <c r="J31" s="67">
        <v>0</v>
      </c>
      <c r="K31" s="67">
        <f t="shared" si="2"/>
        <v>0</v>
      </c>
      <c r="L31" s="126">
        <f t="shared" si="3"/>
        <v>0</v>
      </c>
      <c r="M31" s="17" t="s">
        <v>12</v>
      </c>
    </row>
    <row r="32" spans="1:13" x14ac:dyDescent="0.25">
      <c r="A32" s="135" t="s">
        <v>332</v>
      </c>
      <c r="B32" s="88">
        <v>45915</v>
      </c>
      <c r="C32" s="17" t="s">
        <v>333</v>
      </c>
      <c r="D32" s="17" t="s">
        <v>123</v>
      </c>
      <c r="E32" s="99">
        <v>6283</v>
      </c>
      <c r="F32" s="99"/>
      <c r="G32" s="67"/>
      <c r="H32" s="122">
        <f t="shared" si="0"/>
        <v>6283</v>
      </c>
      <c r="I32" s="67">
        <f t="shared" si="1"/>
        <v>958.42372881355971</v>
      </c>
      <c r="J32" s="67">
        <v>4934.75</v>
      </c>
      <c r="K32" s="67">
        <f t="shared" si="2"/>
        <v>888.255</v>
      </c>
      <c r="L32" s="126">
        <f t="shared" si="3"/>
        <v>70.16872881355971</v>
      </c>
      <c r="M32" s="17" t="s">
        <v>12</v>
      </c>
    </row>
    <row r="33" spans="1:13" x14ac:dyDescent="0.25">
      <c r="A33" s="135" t="s">
        <v>341</v>
      </c>
      <c r="B33" s="88">
        <v>45917</v>
      </c>
      <c r="C33" s="17" t="s">
        <v>342</v>
      </c>
      <c r="D33" s="17" t="s">
        <v>13</v>
      </c>
      <c r="E33" s="99">
        <v>9416</v>
      </c>
      <c r="F33" s="99"/>
      <c r="G33" s="67"/>
      <c r="H33" s="122">
        <f t="shared" si="0"/>
        <v>9416</v>
      </c>
      <c r="I33" s="67">
        <f t="shared" si="1"/>
        <v>1436.3389830508481</v>
      </c>
      <c r="J33" s="67">
        <v>0</v>
      </c>
      <c r="K33" s="67">
        <f t="shared" si="2"/>
        <v>0</v>
      </c>
      <c r="L33" s="126">
        <f t="shared" si="3"/>
        <v>1436.3389830508481</v>
      </c>
      <c r="M33" s="17" t="s">
        <v>12</v>
      </c>
    </row>
    <row r="34" spans="1:13" hidden="1" x14ac:dyDescent="0.25">
      <c r="A34" s="17" t="s">
        <v>350</v>
      </c>
      <c r="B34" s="88">
        <v>45922</v>
      </c>
      <c r="C34" s="17" t="s">
        <v>351</v>
      </c>
      <c r="D34" s="17" t="s">
        <v>289</v>
      </c>
      <c r="E34" s="99">
        <v>28674</v>
      </c>
      <c r="F34" s="99"/>
      <c r="G34" s="67">
        <v>28674</v>
      </c>
      <c r="H34" s="122">
        <f t="shared" si="0"/>
        <v>0</v>
      </c>
      <c r="I34" s="67">
        <f t="shared" si="1"/>
        <v>0</v>
      </c>
      <c r="J34" s="67">
        <v>0</v>
      </c>
      <c r="K34" s="67">
        <f t="shared" si="2"/>
        <v>0</v>
      </c>
      <c r="L34" s="126">
        <f t="shared" si="3"/>
        <v>0</v>
      </c>
      <c r="M34" s="17" t="s">
        <v>12</v>
      </c>
    </row>
    <row r="35" spans="1:13" hidden="1" x14ac:dyDescent="0.25">
      <c r="A35" s="17" t="s">
        <v>352</v>
      </c>
      <c r="B35" s="88">
        <v>45924</v>
      </c>
      <c r="C35" s="17" t="s">
        <v>353</v>
      </c>
      <c r="D35" s="17" t="s">
        <v>184</v>
      </c>
      <c r="E35" s="99">
        <v>9558</v>
      </c>
      <c r="F35" s="99"/>
      <c r="G35" s="67">
        <v>9558</v>
      </c>
      <c r="H35" s="67">
        <f t="shared" si="0"/>
        <v>0</v>
      </c>
      <c r="I35" s="67">
        <f t="shared" si="1"/>
        <v>0</v>
      </c>
      <c r="J35" s="67">
        <v>0</v>
      </c>
      <c r="K35" s="67">
        <f t="shared" si="2"/>
        <v>0</v>
      </c>
      <c r="L35" s="126">
        <f t="shared" si="3"/>
        <v>0</v>
      </c>
      <c r="M35" s="17" t="s">
        <v>12</v>
      </c>
    </row>
    <row r="36" spans="1:13" hidden="1" x14ac:dyDescent="0.25">
      <c r="A36" s="135" t="s">
        <v>275</v>
      </c>
      <c r="B36" s="88">
        <v>45925</v>
      </c>
      <c r="C36" s="17" t="s">
        <v>354</v>
      </c>
      <c r="D36" s="17" t="s">
        <v>276</v>
      </c>
      <c r="E36" s="99">
        <v>21240</v>
      </c>
      <c r="F36" s="99"/>
      <c r="G36" s="67">
        <v>21240</v>
      </c>
      <c r="H36" s="122">
        <f t="shared" si="0"/>
        <v>0</v>
      </c>
      <c r="I36" s="67">
        <f t="shared" si="1"/>
        <v>0</v>
      </c>
      <c r="J36" s="67">
        <v>0</v>
      </c>
      <c r="K36" s="67">
        <f t="shared" si="2"/>
        <v>0</v>
      </c>
      <c r="L36" s="126">
        <f t="shared" si="3"/>
        <v>0</v>
      </c>
      <c r="M36" s="17" t="s">
        <v>12</v>
      </c>
    </row>
    <row r="37" spans="1:13" hidden="1" x14ac:dyDescent="0.25">
      <c r="A37" s="135" t="s">
        <v>255</v>
      </c>
      <c r="B37" s="88">
        <v>45925</v>
      </c>
      <c r="C37" s="17" t="s">
        <v>355</v>
      </c>
      <c r="D37" s="17" t="s">
        <v>184</v>
      </c>
      <c r="E37" s="99">
        <v>5310</v>
      </c>
      <c r="F37" s="99"/>
      <c r="G37" s="67">
        <v>5310</v>
      </c>
      <c r="H37" s="122">
        <f t="shared" si="0"/>
        <v>0</v>
      </c>
      <c r="I37" s="67">
        <f t="shared" si="1"/>
        <v>0</v>
      </c>
      <c r="J37" s="67">
        <v>0</v>
      </c>
      <c r="K37" s="67">
        <f t="shared" si="2"/>
        <v>0</v>
      </c>
      <c r="L37" s="126">
        <f t="shared" si="3"/>
        <v>0</v>
      </c>
      <c r="M37" s="17" t="s">
        <v>12</v>
      </c>
    </row>
    <row r="38" spans="1:13" hidden="1" x14ac:dyDescent="0.25">
      <c r="A38" s="17" t="s">
        <v>356</v>
      </c>
      <c r="B38" s="88">
        <v>45926</v>
      </c>
      <c r="C38" s="17" t="s">
        <v>357</v>
      </c>
      <c r="D38" s="17" t="s">
        <v>289</v>
      </c>
      <c r="E38" s="99">
        <v>15930</v>
      </c>
      <c r="F38" s="99"/>
      <c r="G38" s="67">
        <v>15930</v>
      </c>
      <c r="H38" s="67">
        <f t="shared" si="0"/>
        <v>0</v>
      </c>
      <c r="I38" s="67">
        <f t="shared" si="1"/>
        <v>0</v>
      </c>
      <c r="J38" s="67">
        <v>0</v>
      </c>
      <c r="K38" s="67">
        <f t="shared" si="2"/>
        <v>0</v>
      </c>
      <c r="L38" s="126">
        <f t="shared" si="3"/>
        <v>0</v>
      </c>
      <c r="M38" s="17" t="s">
        <v>12</v>
      </c>
    </row>
    <row r="39" spans="1:13" x14ac:dyDescent="0.25">
      <c r="A39" s="135" t="s">
        <v>364</v>
      </c>
      <c r="B39" s="88">
        <v>45927</v>
      </c>
      <c r="C39" s="17" t="s">
        <v>365</v>
      </c>
      <c r="D39" s="17" t="s">
        <v>339</v>
      </c>
      <c r="E39" s="99"/>
      <c r="F39" s="99">
        <v>1534</v>
      </c>
      <c r="G39" s="67"/>
      <c r="H39" s="122">
        <f t="shared" si="0"/>
        <v>1534</v>
      </c>
      <c r="I39" s="67">
        <f t="shared" si="1"/>
        <v>234.00000000000011</v>
      </c>
      <c r="J39" s="67">
        <v>1060</v>
      </c>
      <c r="K39" s="67">
        <f t="shared" si="2"/>
        <v>190.79999999999998</v>
      </c>
      <c r="L39" s="126">
        <f t="shared" si="3"/>
        <v>43.200000000000131</v>
      </c>
      <c r="M39" s="17" t="s">
        <v>12</v>
      </c>
    </row>
    <row r="40" spans="1:13" x14ac:dyDescent="0.25">
      <c r="A40" s="134" t="s">
        <v>20</v>
      </c>
      <c r="B40" s="86">
        <v>45791</v>
      </c>
      <c r="C40" s="22" t="s">
        <v>121</v>
      </c>
      <c r="D40" s="23" t="s">
        <v>33</v>
      </c>
      <c r="E40" s="73">
        <v>681</v>
      </c>
      <c r="F40" s="73"/>
      <c r="G40" s="74"/>
      <c r="H40" s="122">
        <f t="shared" si="0"/>
        <v>681</v>
      </c>
      <c r="I40" s="67">
        <f t="shared" si="1"/>
        <v>103.88135593220343</v>
      </c>
      <c r="J40" s="116">
        <v>0</v>
      </c>
      <c r="K40" s="67">
        <f t="shared" si="2"/>
        <v>0</v>
      </c>
      <c r="L40" s="126">
        <f t="shared" si="3"/>
        <v>103.88135593220343</v>
      </c>
      <c r="M40" s="103" t="s">
        <v>9</v>
      </c>
    </row>
    <row r="41" spans="1:13" hidden="1" x14ac:dyDescent="0.25">
      <c r="A41" s="22" t="s">
        <v>227</v>
      </c>
      <c r="B41" s="86">
        <v>45868</v>
      </c>
      <c r="C41" s="22" t="s">
        <v>228</v>
      </c>
      <c r="D41" s="23" t="s">
        <v>213</v>
      </c>
      <c r="E41" s="99">
        <v>491</v>
      </c>
      <c r="F41" s="99"/>
      <c r="G41" s="67">
        <v>491</v>
      </c>
      <c r="H41" s="67">
        <f t="shared" si="0"/>
        <v>0</v>
      </c>
      <c r="I41" s="67">
        <f t="shared" si="1"/>
        <v>0</v>
      </c>
      <c r="J41" s="67">
        <v>0</v>
      </c>
      <c r="K41" s="67">
        <f t="shared" si="2"/>
        <v>0</v>
      </c>
      <c r="L41" s="126">
        <f t="shared" si="3"/>
        <v>0</v>
      </c>
      <c r="M41" s="17" t="s">
        <v>9</v>
      </c>
    </row>
    <row r="42" spans="1:13" hidden="1" x14ac:dyDescent="0.25">
      <c r="A42" s="22" t="s">
        <v>246</v>
      </c>
      <c r="B42" s="86">
        <v>45880</v>
      </c>
      <c r="C42" s="22" t="s">
        <v>247</v>
      </c>
      <c r="D42" s="23" t="s">
        <v>244</v>
      </c>
      <c r="E42" s="99">
        <v>1770</v>
      </c>
      <c r="F42" s="99"/>
      <c r="G42" s="67">
        <v>1770</v>
      </c>
      <c r="H42" s="67">
        <f t="shared" si="0"/>
        <v>0</v>
      </c>
      <c r="I42" s="67">
        <f t="shared" si="1"/>
        <v>0</v>
      </c>
      <c r="J42" s="67">
        <v>0</v>
      </c>
      <c r="K42" s="67">
        <f t="shared" si="2"/>
        <v>0</v>
      </c>
      <c r="L42" s="126">
        <f t="shared" si="3"/>
        <v>0</v>
      </c>
      <c r="M42" s="17" t="s">
        <v>9</v>
      </c>
    </row>
    <row r="43" spans="1:13" x14ac:dyDescent="0.25">
      <c r="A43" s="134" t="s">
        <v>248</v>
      </c>
      <c r="B43" s="86">
        <v>45881</v>
      </c>
      <c r="C43" s="22" t="s">
        <v>249</v>
      </c>
      <c r="D43" s="23" t="s">
        <v>147</v>
      </c>
      <c r="E43" s="99">
        <v>873</v>
      </c>
      <c r="F43" s="99"/>
      <c r="G43" s="67"/>
      <c r="H43" s="122">
        <f t="shared" si="0"/>
        <v>873</v>
      </c>
      <c r="I43" s="67">
        <f t="shared" si="1"/>
        <v>133.16949152542378</v>
      </c>
      <c r="J43" s="67">
        <v>0</v>
      </c>
      <c r="K43" s="67">
        <f t="shared" si="2"/>
        <v>0</v>
      </c>
      <c r="L43" s="126">
        <f t="shared" si="3"/>
        <v>133.16949152542378</v>
      </c>
      <c r="M43" s="17" t="s">
        <v>9</v>
      </c>
    </row>
    <row r="44" spans="1:13" x14ac:dyDescent="0.25">
      <c r="A44" s="134" t="s">
        <v>214</v>
      </c>
      <c r="B44" s="86">
        <v>45885</v>
      </c>
      <c r="C44" s="22" t="s">
        <v>266</v>
      </c>
      <c r="D44" s="23" t="s">
        <v>7</v>
      </c>
      <c r="E44" s="99">
        <v>14160</v>
      </c>
      <c r="F44" s="99"/>
      <c r="G44" s="67"/>
      <c r="H44" s="122">
        <f t="shared" si="0"/>
        <v>14160</v>
      </c>
      <c r="I44" s="67">
        <f t="shared" si="1"/>
        <v>2160.0000000000009</v>
      </c>
      <c r="J44" s="67"/>
      <c r="K44" s="67">
        <f t="shared" si="2"/>
        <v>0</v>
      </c>
      <c r="L44" s="126">
        <f t="shared" si="3"/>
        <v>2160.0000000000009</v>
      </c>
      <c r="M44" s="17" t="s">
        <v>9</v>
      </c>
    </row>
    <row r="45" spans="1:13" hidden="1" x14ac:dyDescent="0.25">
      <c r="A45" s="22" t="s">
        <v>290</v>
      </c>
      <c r="B45" s="86">
        <v>45896</v>
      </c>
      <c r="C45" s="22" t="s">
        <v>291</v>
      </c>
      <c r="D45" s="23" t="s">
        <v>184</v>
      </c>
      <c r="E45" s="99">
        <v>5310</v>
      </c>
      <c r="F45" s="99"/>
      <c r="G45" s="67">
        <v>5310</v>
      </c>
      <c r="H45" s="67">
        <f t="shared" si="0"/>
        <v>0</v>
      </c>
      <c r="I45" s="67">
        <f t="shared" si="1"/>
        <v>0</v>
      </c>
      <c r="J45" s="67">
        <v>0</v>
      </c>
      <c r="K45" s="67">
        <f t="shared" si="2"/>
        <v>0</v>
      </c>
      <c r="L45" s="126">
        <f t="shared" si="3"/>
        <v>0</v>
      </c>
      <c r="M45" s="17" t="s">
        <v>9</v>
      </c>
    </row>
    <row r="46" spans="1:13" hidden="1" x14ac:dyDescent="0.25">
      <c r="A46" s="22" t="s">
        <v>265</v>
      </c>
      <c r="B46" s="86">
        <v>45911</v>
      </c>
      <c r="C46" s="22" t="s">
        <v>313</v>
      </c>
      <c r="D46" s="23" t="s">
        <v>7</v>
      </c>
      <c r="E46" s="99">
        <v>13482</v>
      </c>
      <c r="F46" s="99"/>
      <c r="G46" s="67">
        <v>13482</v>
      </c>
      <c r="H46" s="67">
        <f t="shared" si="0"/>
        <v>0</v>
      </c>
      <c r="I46" s="67">
        <f t="shared" si="1"/>
        <v>0</v>
      </c>
      <c r="J46" s="67">
        <v>0</v>
      </c>
      <c r="K46" s="67">
        <f t="shared" si="2"/>
        <v>0</v>
      </c>
      <c r="L46" s="126">
        <f t="shared" si="3"/>
        <v>0</v>
      </c>
      <c r="M46" s="17" t="s">
        <v>9</v>
      </c>
    </row>
    <row r="47" spans="1:13" hidden="1" x14ac:dyDescent="0.25">
      <c r="A47" s="22" t="s">
        <v>214</v>
      </c>
      <c r="B47" s="86">
        <v>45911</v>
      </c>
      <c r="C47" s="22" t="s">
        <v>314</v>
      </c>
      <c r="D47" s="23" t="s">
        <v>7</v>
      </c>
      <c r="E47" s="99">
        <v>6572</v>
      </c>
      <c r="F47" s="99"/>
      <c r="G47" s="67">
        <v>6572</v>
      </c>
      <c r="H47" s="67">
        <f t="shared" si="0"/>
        <v>0</v>
      </c>
      <c r="I47" s="67">
        <f t="shared" si="1"/>
        <v>0</v>
      </c>
      <c r="J47" s="67">
        <v>0</v>
      </c>
      <c r="K47" s="67">
        <f t="shared" si="2"/>
        <v>0</v>
      </c>
      <c r="L47" s="126">
        <f t="shared" si="3"/>
        <v>0</v>
      </c>
      <c r="M47" s="17" t="s">
        <v>9</v>
      </c>
    </row>
    <row r="48" spans="1:13" hidden="1" x14ac:dyDescent="0.25">
      <c r="A48" s="22" t="s">
        <v>164</v>
      </c>
      <c r="B48" s="86">
        <v>45918</v>
      </c>
      <c r="C48" s="22" t="s">
        <v>343</v>
      </c>
      <c r="D48" s="23" t="s">
        <v>244</v>
      </c>
      <c r="E48" s="99">
        <v>15930</v>
      </c>
      <c r="F48" s="99"/>
      <c r="G48" s="67">
        <v>15930</v>
      </c>
      <c r="H48" s="67">
        <f t="shared" si="0"/>
        <v>0</v>
      </c>
      <c r="I48" s="67">
        <f t="shared" si="1"/>
        <v>0</v>
      </c>
      <c r="J48" s="67">
        <v>0</v>
      </c>
      <c r="K48" s="67">
        <f t="shared" si="2"/>
        <v>0</v>
      </c>
      <c r="L48" s="126">
        <f t="shared" si="3"/>
        <v>0</v>
      </c>
      <c r="M48" s="17" t="s">
        <v>9</v>
      </c>
    </row>
    <row r="49" spans="1:13" hidden="1" x14ac:dyDescent="0.25">
      <c r="A49" s="134" t="s">
        <v>344</v>
      </c>
      <c r="B49" s="86">
        <v>45918</v>
      </c>
      <c r="C49" s="22" t="s">
        <v>345</v>
      </c>
      <c r="D49" s="23" t="s">
        <v>289</v>
      </c>
      <c r="E49" s="99">
        <v>15134</v>
      </c>
      <c r="F49" s="99"/>
      <c r="G49" s="67">
        <v>15134</v>
      </c>
      <c r="H49" s="122">
        <f t="shared" si="0"/>
        <v>0</v>
      </c>
      <c r="I49" s="67">
        <f t="shared" si="1"/>
        <v>0</v>
      </c>
      <c r="J49" s="67">
        <v>0</v>
      </c>
      <c r="K49" s="67">
        <f t="shared" si="2"/>
        <v>0</v>
      </c>
      <c r="L49" s="126">
        <f t="shared" si="3"/>
        <v>0</v>
      </c>
      <c r="M49" s="17" t="s">
        <v>9</v>
      </c>
    </row>
    <row r="50" spans="1:13" x14ac:dyDescent="0.25">
      <c r="A50" s="134" t="s">
        <v>46</v>
      </c>
      <c r="B50" s="86">
        <v>45922</v>
      </c>
      <c r="C50" s="22" t="s">
        <v>358</v>
      </c>
      <c r="D50" s="23" t="s">
        <v>22</v>
      </c>
      <c r="E50" s="99">
        <v>7800</v>
      </c>
      <c r="F50" s="99"/>
      <c r="G50" s="67"/>
      <c r="H50" s="122">
        <f t="shared" si="0"/>
        <v>7800</v>
      </c>
      <c r="I50" s="67">
        <f t="shared" si="1"/>
        <v>1189.8305084745768</v>
      </c>
      <c r="J50" s="67">
        <v>6279.99</v>
      </c>
      <c r="K50" s="67">
        <f t="shared" si="2"/>
        <v>1130.3981999999999</v>
      </c>
      <c r="L50" s="126">
        <f t="shared" si="3"/>
        <v>59.432308474576985</v>
      </c>
      <c r="M50" s="17" t="s">
        <v>9</v>
      </c>
    </row>
    <row r="51" spans="1:13" x14ac:dyDescent="0.25">
      <c r="A51" s="135" t="s">
        <v>19</v>
      </c>
      <c r="B51" s="88">
        <v>45849</v>
      </c>
      <c r="C51" s="17" t="s">
        <v>200</v>
      </c>
      <c r="D51" s="104" t="s">
        <v>7</v>
      </c>
      <c r="E51" s="99">
        <v>870</v>
      </c>
      <c r="F51" s="99"/>
      <c r="G51" s="67"/>
      <c r="H51" s="122">
        <f t="shared" si="0"/>
        <v>870</v>
      </c>
      <c r="I51" s="67">
        <f t="shared" si="1"/>
        <v>132.71186440677971</v>
      </c>
      <c r="J51" s="67">
        <f>3986.9*0.155218554861731</f>
        <v>618.84085637823534</v>
      </c>
      <c r="K51" s="67">
        <f t="shared" si="2"/>
        <v>111.39135414808236</v>
      </c>
      <c r="L51" s="126">
        <f t="shared" si="3"/>
        <v>21.320510258697354</v>
      </c>
      <c r="M51" s="17" t="s">
        <v>6</v>
      </c>
    </row>
    <row r="52" spans="1:13" x14ac:dyDescent="0.25">
      <c r="A52" s="135" t="s">
        <v>206</v>
      </c>
      <c r="B52" s="88">
        <v>45850</v>
      </c>
      <c r="C52" s="17" t="s">
        <v>207</v>
      </c>
      <c r="D52" s="104" t="s">
        <v>7</v>
      </c>
      <c r="E52" s="99">
        <v>1033</v>
      </c>
      <c r="F52" s="99"/>
      <c r="G52" s="67"/>
      <c r="H52" s="122">
        <f t="shared" si="0"/>
        <v>1033</v>
      </c>
      <c r="I52" s="67">
        <f t="shared" si="1"/>
        <v>157.57627118644075</v>
      </c>
      <c r="J52" s="67">
        <v>734.34</v>
      </c>
      <c r="K52" s="67">
        <f t="shared" si="2"/>
        <v>132.18119999999999</v>
      </c>
      <c r="L52" s="126">
        <f t="shared" si="3"/>
        <v>25.395071186440759</v>
      </c>
      <c r="M52" s="17" t="s">
        <v>6</v>
      </c>
    </row>
    <row r="53" spans="1:13" x14ac:dyDescent="0.25">
      <c r="A53" s="135" t="s">
        <v>218</v>
      </c>
      <c r="B53" s="88">
        <v>45861</v>
      </c>
      <c r="C53" s="17" t="s">
        <v>219</v>
      </c>
      <c r="D53" s="104" t="s">
        <v>16</v>
      </c>
      <c r="E53" s="99">
        <v>98530</v>
      </c>
      <c r="F53" s="99"/>
      <c r="G53" s="67"/>
      <c r="H53" s="122">
        <f t="shared" si="0"/>
        <v>98530</v>
      </c>
      <c r="I53" s="67">
        <f t="shared" si="1"/>
        <v>15030.000000000007</v>
      </c>
      <c r="J53" s="67">
        <v>0</v>
      </c>
      <c r="K53" s="67">
        <f t="shared" si="2"/>
        <v>0</v>
      </c>
      <c r="L53" s="126">
        <f t="shared" si="3"/>
        <v>15030.000000000007</v>
      </c>
      <c r="M53" s="17" t="s">
        <v>6</v>
      </c>
    </row>
    <row r="54" spans="1:13" x14ac:dyDescent="0.25">
      <c r="A54" s="135" t="s">
        <v>130</v>
      </c>
      <c r="B54" s="88">
        <v>45861</v>
      </c>
      <c r="C54" s="17" t="s">
        <v>220</v>
      </c>
      <c r="D54" s="104" t="s">
        <v>7</v>
      </c>
      <c r="E54" s="99">
        <v>137887</v>
      </c>
      <c r="F54" s="99"/>
      <c r="G54" s="67">
        <v>20659</v>
      </c>
      <c r="H54" s="122">
        <f t="shared" si="0"/>
        <v>117228</v>
      </c>
      <c r="I54" s="67">
        <f t="shared" si="1"/>
        <v>17882.237288135602</v>
      </c>
      <c r="J54" s="67">
        <v>0</v>
      </c>
      <c r="K54" s="67">
        <f t="shared" si="2"/>
        <v>0</v>
      </c>
      <c r="L54" s="126">
        <f t="shared" si="3"/>
        <v>17882.237288135602</v>
      </c>
      <c r="M54" s="17" t="s">
        <v>6</v>
      </c>
    </row>
    <row r="55" spans="1:13" hidden="1" x14ac:dyDescent="0.25">
      <c r="A55" s="17" t="s">
        <v>206</v>
      </c>
      <c r="B55" s="88">
        <v>45868</v>
      </c>
      <c r="C55" s="17" t="s">
        <v>229</v>
      </c>
      <c r="D55" s="104" t="s">
        <v>225</v>
      </c>
      <c r="E55" s="99">
        <v>10000</v>
      </c>
      <c r="F55" s="99"/>
      <c r="G55" s="67">
        <v>10000</v>
      </c>
      <c r="H55" s="122">
        <f t="shared" si="0"/>
        <v>0</v>
      </c>
      <c r="I55" s="67">
        <f t="shared" si="1"/>
        <v>0</v>
      </c>
      <c r="J55" s="67">
        <v>0</v>
      </c>
      <c r="K55" s="67">
        <f t="shared" si="2"/>
        <v>0</v>
      </c>
      <c r="L55" s="126">
        <f t="shared" si="3"/>
        <v>0</v>
      </c>
      <c r="M55" s="17" t="s">
        <v>6</v>
      </c>
    </row>
    <row r="56" spans="1:13" x14ac:dyDescent="0.25">
      <c r="A56" s="135" t="s">
        <v>19</v>
      </c>
      <c r="B56" s="88">
        <v>45880</v>
      </c>
      <c r="C56" s="17" t="s">
        <v>250</v>
      </c>
      <c r="D56" s="104" t="s">
        <v>7</v>
      </c>
      <c r="E56" s="99">
        <v>5954</v>
      </c>
      <c r="F56" s="99"/>
      <c r="G56" s="67"/>
      <c r="H56" s="122">
        <f t="shared" si="0"/>
        <v>5954</v>
      </c>
      <c r="I56" s="67">
        <f t="shared" si="1"/>
        <v>908.23728813559364</v>
      </c>
      <c r="J56" s="67">
        <v>4227.91</v>
      </c>
      <c r="K56" s="67">
        <f t="shared" si="2"/>
        <v>761.02379999999994</v>
      </c>
      <c r="L56" s="126">
        <f t="shared" si="3"/>
        <v>147.21348813559371</v>
      </c>
      <c r="M56" s="17" t="s">
        <v>6</v>
      </c>
    </row>
    <row r="57" spans="1:13" x14ac:dyDescent="0.25">
      <c r="A57" s="135" t="s">
        <v>132</v>
      </c>
      <c r="B57" s="88">
        <v>45880</v>
      </c>
      <c r="C57" s="17" t="s">
        <v>251</v>
      </c>
      <c r="D57" s="104" t="s">
        <v>7</v>
      </c>
      <c r="E57" s="99">
        <v>91607</v>
      </c>
      <c r="F57" s="99"/>
      <c r="G57" s="67"/>
      <c r="H57" s="122">
        <f t="shared" si="0"/>
        <v>91607</v>
      </c>
      <c r="I57" s="67">
        <f t="shared" si="1"/>
        <v>13973.949152542378</v>
      </c>
      <c r="J57" s="67">
        <v>14189.76</v>
      </c>
      <c r="K57" s="67">
        <f t="shared" si="2"/>
        <v>2554.1567999999997</v>
      </c>
      <c r="L57" s="126">
        <f t="shared" si="3"/>
        <v>11419.792352542379</v>
      </c>
      <c r="M57" s="17" t="s">
        <v>6</v>
      </c>
    </row>
    <row r="58" spans="1:13" x14ac:dyDescent="0.25">
      <c r="A58" s="135" t="s">
        <v>206</v>
      </c>
      <c r="B58" s="88">
        <v>45880</v>
      </c>
      <c r="C58" s="17" t="s">
        <v>252</v>
      </c>
      <c r="D58" s="104" t="s">
        <v>7</v>
      </c>
      <c r="E58" s="99">
        <v>4374</v>
      </c>
      <c r="F58" s="99"/>
      <c r="G58" s="67"/>
      <c r="H58" s="122">
        <f t="shared" si="0"/>
        <v>4374</v>
      </c>
      <c r="I58" s="67">
        <f t="shared" si="1"/>
        <v>667.22033898305108</v>
      </c>
      <c r="J58" s="67">
        <v>3106.24</v>
      </c>
      <c r="K58" s="67">
        <f t="shared" si="2"/>
        <v>559.12319999999988</v>
      </c>
      <c r="L58" s="126">
        <f t="shared" si="3"/>
        <v>108.0971389830512</v>
      </c>
      <c r="M58" s="17" t="s">
        <v>6</v>
      </c>
    </row>
    <row r="59" spans="1:13" hidden="1" x14ac:dyDescent="0.25">
      <c r="A59" s="121" t="s">
        <v>116</v>
      </c>
      <c r="B59" s="88">
        <v>45880</v>
      </c>
      <c r="C59" s="17" t="s">
        <v>253</v>
      </c>
      <c r="D59" s="104" t="s">
        <v>7</v>
      </c>
      <c r="E59" s="99">
        <v>14896</v>
      </c>
      <c r="F59" s="99"/>
      <c r="G59" s="67">
        <v>14896</v>
      </c>
      <c r="H59" s="122">
        <f t="shared" si="0"/>
        <v>0</v>
      </c>
      <c r="I59" s="67">
        <f t="shared" si="1"/>
        <v>0</v>
      </c>
      <c r="J59" s="67">
        <v>0</v>
      </c>
      <c r="K59" s="67">
        <f t="shared" si="2"/>
        <v>0</v>
      </c>
      <c r="L59" s="126">
        <f t="shared" si="3"/>
        <v>0</v>
      </c>
      <c r="M59" s="17" t="s">
        <v>6</v>
      </c>
    </row>
    <row r="60" spans="1:13" hidden="1" x14ac:dyDescent="0.25">
      <c r="A60" s="135" t="s">
        <v>14</v>
      </c>
      <c r="B60" s="88">
        <v>45883</v>
      </c>
      <c r="C60" s="17" t="s">
        <v>267</v>
      </c>
      <c r="D60" s="104" t="s">
        <v>40</v>
      </c>
      <c r="E60" s="99">
        <v>152810</v>
      </c>
      <c r="F60" s="99"/>
      <c r="G60" s="67">
        <v>152810</v>
      </c>
      <c r="H60" s="122">
        <f t="shared" si="0"/>
        <v>0</v>
      </c>
      <c r="I60" s="67">
        <f t="shared" si="1"/>
        <v>0</v>
      </c>
      <c r="J60" s="67">
        <v>0</v>
      </c>
      <c r="K60" s="67">
        <f t="shared" si="2"/>
        <v>0</v>
      </c>
      <c r="L60" s="126">
        <f t="shared" si="3"/>
        <v>0</v>
      </c>
      <c r="M60" s="17" t="s">
        <v>6</v>
      </c>
    </row>
    <row r="61" spans="1:13" x14ac:dyDescent="0.25">
      <c r="A61" s="135" t="s">
        <v>62</v>
      </c>
      <c r="B61" s="88">
        <v>45885</v>
      </c>
      <c r="C61" s="17" t="s">
        <v>269</v>
      </c>
      <c r="D61" s="104" t="s">
        <v>7</v>
      </c>
      <c r="E61" s="99">
        <v>48255</v>
      </c>
      <c r="F61" s="99"/>
      <c r="G61" s="67"/>
      <c r="H61" s="122">
        <f t="shared" si="0"/>
        <v>48255</v>
      </c>
      <c r="I61" s="67">
        <f t="shared" si="1"/>
        <v>7360.9322033898334</v>
      </c>
      <c r="J61" s="67">
        <v>40051.589999999997</v>
      </c>
      <c r="K61" s="67">
        <f t="shared" si="2"/>
        <v>7209.2861999999996</v>
      </c>
      <c r="L61" s="126">
        <f t="shared" si="3"/>
        <v>151.64600338983382</v>
      </c>
      <c r="M61" s="17" t="s">
        <v>6</v>
      </c>
    </row>
    <row r="62" spans="1:13" x14ac:dyDescent="0.25">
      <c r="A62" s="135" t="s">
        <v>130</v>
      </c>
      <c r="B62" s="88">
        <v>45887</v>
      </c>
      <c r="C62" s="17" t="s">
        <v>273</v>
      </c>
      <c r="D62" s="104" t="s">
        <v>7</v>
      </c>
      <c r="E62" s="99">
        <v>131947</v>
      </c>
      <c r="F62" s="99"/>
      <c r="G62" s="67">
        <v>19752</v>
      </c>
      <c r="H62" s="122">
        <f t="shared" si="0"/>
        <v>112195</v>
      </c>
      <c r="I62" s="67">
        <f t="shared" si="1"/>
        <v>17114.491525423735</v>
      </c>
      <c r="J62" s="67">
        <v>13044.63</v>
      </c>
      <c r="K62" s="67">
        <f t="shared" si="2"/>
        <v>2348.0333999999998</v>
      </c>
      <c r="L62" s="126">
        <f t="shared" si="3"/>
        <v>14766.458125423735</v>
      </c>
      <c r="M62" s="17" t="s">
        <v>6</v>
      </c>
    </row>
    <row r="63" spans="1:13" hidden="1" x14ac:dyDescent="0.25">
      <c r="A63" s="17" t="s">
        <v>132</v>
      </c>
      <c r="B63" s="88">
        <v>45911</v>
      </c>
      <c r="C63" s="17" t="s">
        <v>315</v>
      </c>
      <c r="D63" s="104" t="s">
        <v>7</v>
      </c>
      <c r="E63" s="99">
        <v>22364</v>
      </c>
      <c r="F63" s="99"/>
      <c r="G63" s="67">
        <v>22364</v>
      </c>
      <c r="H63" s="122">
        <f t="shared" si="0"/>
        <v>0</v>
      </c>
      <c r="I63" s="67">
        <f t="shared" si="1"/>
        <v>0</v>
      </c>
      <c r="J63" s="67">
        <v>0</v>
      </c>
      <c r="K63" s="67">
        <f t="shared" si="2"/>
        <v>0</v>
      </c>
      <c r="L63" s="126">
        <f t="shared" si="3"/>
        <v>0</v>
      </c>
      <c r="M63" s="17" t="s">
        <v>6</v>
      </c>
    </row>
    <row r="64" spans="1:13" x14ac:dyDescent="0.25">
      <c r="A64" s="135" t="s">
        <v>62</v>
      </c>
      <c r="B64" s="88">
        <v>45911</v>
      </c>
      <c r="C64" s="17" t="s">
        <v>316</v>
      </c>
      <c r="D64" s="104" t="s">
        <v>7</v>
      </c>
      <c r="E64" s="99">
        <v>51774</v>
      </c>
      <c r="F64" s="99"/>
      <c r="G64" s="67"/>
      <c r="H64" s="122">
        <f t="shared" si="0"/>
        <v>51774</v>
      </c>
      <c r="I64" s="67">
        <f t="shared" si="1"/>
        <v>7897.7288135593253</v>
      </c>
      <c r="J64" s="67">
        <v>36888.35</v>
      </c>
      <c r="K64" s="67">
        <f t="shared" si="2"/>
        <v>6639.9029999999993</v>
      </c>
      <c r="L64" s="126">
        <f t="shared" si="3"/>
        <v>1257.825813559326</v>
      </c>
      <c r="M64" s="17" t="s">
        <v>6</v>
      </c>
    </row>
    <row r="65" spans="1:13" x14ac:dyDescent="0.25">
      <c r="A65" s="135" t="s">
        <v>206</v>
      </c>
      <c r="B65" s="88">
        <v>45911</v>
      </c>
      <c r="C65" s="17" t="s">
        <v>317</v>
      </c>
      <c r="D65" s="104" t="s">
        <v>7</v>
      </c>
      <c r="E65" s="99">
        <v>4618</v>
      </c>
      <c r="F65" s="99"/>
      <c r="G65" s="67"/>
      <c r="H65" s="122">
        <f t="shared" si="0"/>
        <v>4618</v>
      </c>
      <c r="I65" s="67">
        <f t="shared" si="1"/>
        <v>704.44067796610204</v>
      </c>
      <c r="J65" s="67">
        <v>3283.36</v>
      </c>
      <c r="K65" s="67">
        <f t="shared" si="2"/>
        <v>591.00480000000005</v>
      </c>
      <c r="L65" s="126">
        <f t="shared" si="3"/>
        <v>113.435877966102</v>
      </c>
      <c r="M65" s="17" t="s">
        <v>6</v>
      </c>
    </row>
    <row r="66" spans="1:13" hidden="1" x14ac:dyDescent="0.25">
      <c r="A66" s="17" t="s">
        <v>132</v>
      </c>
      <c r="B66" s="88">
        <v>45911</v>
      </c>
      <c r="C66" s="17" t="s">
        <v>318</v>
      </c>
      <c r="D66" s="104" t="s">
        <v>7</v>
      </c>
      <c r="E66" s="99">
        <v>21685</v>
      </c>
      <c r="F66" s="99"/>
      <c r="G66" s="67">
        <v>21685</v>
      </c>
      <c r="H66" s="122">
        <f t="shared" si="0"/>
        <v>0</v>
      </c>
      <c r="I66" s="67">
        <f t="shared" si="1"/>
        <v>0</v>
      </c>
      <c r="J66" s="67">
        <v>0</v>
      </c>
      <c r="K66" s="67">
        <f t="shared" si="2"/>
        <v>0</v>
      </c>
      <c r="L66" s="126">
        <f t="shared" si="3"/>
        <v>0</v>
      </c>
      <c r="M66" s="17" t="s">
        <v>6</v>
      </c>
    </row>
    <row r="67" spans="1:13" x14ac:dyDescent="0.25">
      <c r="A67" s="135" t="s">
        <v>268</v>
      </c>
      <c r="B67" s="88">
        <v>45911</v>
      </c>
      <c r="C67" s="17" t="s">
        <v>319</v>
      </c>
      <c r="D67" s="104" t="s">
        <v>7</v>
      </c>
      <c r="E67" s="99">
        <v>10044</v>
      </c>
      <c r="F67" s="99"/>
      <c r="G67" s="67"/>
      <c r="H67" s="122">
        <f t="shared" ref="H67:H107" si="4">+E67+F67-G67</f>
        <v>10044</v>
      </c>
      <c r="I67" s="67">
        <f t="shared" ref="I67:I130" si="5">+H67*0.152542372881356</f>
        <v>1532.1355932203396</v>
      </c>
      <c r="J67" s="67">
        <v>7064.86</v>
      </c>
      <c r="K67" s="67">
        <f t="shared" ref="K67:K132" si="6">+J67*18%</f>
        <v>1271.6748</v>
      </c>
      <c r="L67" s="126">
        <f t="shared" ref="L67:L130" si="7">+I67-K67</f>
        <v>260.46079322033961</v>
      </c>
      <c r="M67" s="17" t="s">
        <v>6</v>
      </c>
    </row>
    <row r="68" spans="1:13" x14ac:dyDescent="0.25">
      <c r="A68" s="135" t="s">
        <v>130</v>
      </c>
      <c r="B68" s="88">
        <v>45918</v>
      </c>
      <c r="C68" s="17" t="s">
        <v>346</v>
      </c>
      <c r="D68" s="104" t="s">
        <v>7</v>
      </c>
      <c r="E68" s="99">
        <v>94551</v>
      </c>
      <c r="F68" s="99"/>
      <c r="G68" s="67"/>
      <c r="H68" s="122">
        <f t="shared" si="4"/>
        <v>94551</v>
      </c>
      <c r="I68" s="67">
        <f t="shared" si="5"/>
        <v>14423.033898305091</v>
      </c>
      <c r="J68" s="67">
        <v>78713</v>
      </c>
      <c r="K68" s="67">
        <f t="shared" si="6"/>
        <v>14168.34</v>
      </c>
      <c r="L68" s="126">
        <f t="shared" si="7"/>
        <v>254.69389830509135</v>
      </c>
      <c r="M68" s="17" t="s">
        <v>6</v>
      </c>
    </row>
    <row r="69" spans="1:13" hidden="1" x14ac:dyDescent="0.25">
      <c r="A69" s="17" t="s">
        <v>95</v>
      </c>
      <c r="B69" s="88">
        <v>45758</v>
      </c>
      <c r="C69" s="17" t="s">
        <v>96</v>
      </c>
      <c r="D69" s="17" t="s">
        <v>97</v>
      </c>
      <c r="E69" s="73">
        <v>88582</v>
      </c>
      <c r="F69" s="74"/>
      <c r="G69" s="74">
        <v>88582</v>
      </c>
      <c r="H69" s="67">
        <f t="shared" si="4"/>
        <v>0</v>
      </c>
      <c r="I69" s="67">
        <f t="shared" si="5"/>
        <v>0</v>
      </c>
      <c r="J69" s="117">
        <v>0</v>
      </c>
      <c r="K69" s="67">
        <f t="shared" si="6"/>
        <v>0</v>
      </c>
      <c r="L69" s="126">
        <f t="shared" si="7"/>
        <v>0</v>
      </c>
      <c r="M69" s="108" t="s">
        <v>15</v>
      </c>
    </row>
    <row r="70" spans="1:13" x14ac:dyDescent="0.25">
      <c r="A70" s="135" t="s">
        <v>21</v>
      </c>
      <c r="B70" s="88">
        <v>45786</v>
      </c>
      <c r="C70" s="17" t="s">
        <v>117</v>
      </c>
      <c r="D70" s="17" t="s">
        <v>7</v>
      </c>
      <c r="E70" s="99">
        <v>5470</v>
      </c>
      <c r="F70" s="99"/>
      <c r="G70" s="67"/>
      <c r="H70" s="122">
        <f t="shared" si="4"/>
        <v>5470</v>
      </c>
      <c r="I70" s="67">
        <f t="shared" si="5"/>
        <v>834.40677966101725</v>
      </c>
      <c r="J70" s="68">
        <v>4044.03</v>
      </c>
      <c r="K70" s="67">
        <f t="shared" si="6"/>
        <v>727.92539999999997</v>
      </c>
      <c r="L70" s="126">
        <f t="shared" si="7"/>
        <v>106.48137966101729</v>
      </c>
      <c r="M70" s="105" t="s">
        <v>15</v>
      </c>
    </row>
    <row r="71" spans="1:13" hidden="1" x14ac:dyDescent="0.25">
      <c r="A71" s="135" t="s">
        <v>10</v>
      </c>
      <c r="B71" s="88">
        <v>45803</v>
      </c>
      <c r="C71" s="17" t="s">
        <v>126</v>
      </c>
      <c r="D71" s="17" t="s">
        <v>11</v>
      </c>
      <c r="E71" s="99">
        <v>8968</v>
      </c>
      <c r="F71" s="99"/>
      <c r="G71" s="67">
        <v>8968</v>
      </c>
      <c r="H71" s="122">
        <f t="shared" si="4"/>
        <v>0</v>
      </c>
      <c r="I71" s="67">
        <f t="shared" si="5"/>
        <v>0</v>
      </c>
      <c r="J71" s="68">
        <v>0</v>
      </c>
      <c r="K71" s="67">
        <f t="shared" si="6"/>
        <v>0</v>
      </c>
      <c r="L71" s="126">
        <f t="shared" si="7"/>
        <v>0</v>
      </c>
      <c r="M71" s="105" t="s">
        <v>15</v>
      </c>
    </row>
    <row r="72" spans="1:13" x14ac:dyDescent="0.25">
      <c r="A72" s="135" t="s">
        <v>168</v>
      </c>
      <c r="B72" s="88">
        <v>45822</v>
      </c>
      <c r="C72" s="17" t="s">
        <v>169</v>
      </c>
      <c r="D72" s="104" t="s">
        <v>7</v>
      </c>
      <c r="E72" s="99">
        <v>19597</v>
      </c>
      <c r="F72" s="99"/>
      <c r="G72" s="99">
        <v>1</v>
      </c>
      <c r="H72" s="122">
        <f t="shared" si="4"/>
        <v>19596</v>
      </c>
      <c r="I72" s="67">
        <f t="shared" si="5"/>
        <v>2989.220338983052</v>
      </c>
      <c r="J72" s="68">
        <v>13452.05</v>
      </c>
      <c r="K72" s="67">
        <f t="shared" si="6"/>
        <v>2421.3689999999997</v>
      </c>
      <c r="L72" s="126">
        <f t="shared" si="7"/>
        <v>567.8513389830523</v>
      </c>
      <c r="M72" s="105" t="s">
        <v>15</v>
      </c>
    </row>
    <row r="73" spans="1:13" x14ac:dyDescent="0.25">
      <c r="A73" s="135" t="s">
        <v>132</v>
      </c>
      <c r="B73" s="88">
        <v>45850</v>
      </c>
      <c r="C73" s="17" t="s">
        <v>208</v>
      </c>
      <c r="D73" s="104" t="s">
        <v>7</v>
      </c>
      <c r="E73" s="99">
        <v>19295</v>
      </c>
      <c r="F73" s="99"/>
      <c r="G73" s="99"/>
      <c r="H73" s="122">
        <f t="shared" si="4"/>
        <v>19295</v>
      </c>
      <c r="I73" s="67">
        <f t="shared" si="5"/>
        <v>2943.3050847457639</v>
      </c>
      <c r="J73" s="68">
        <v>13724.28</v>
      </c>
      <c r="K73" s="67">
        <f t="shared" si="6"/>
        <v>2470.3704000000002</v>
      </c>
      <c r="L73" s="126">
        <f t="shared" si="7"/>
        <v>472.93468474576366</v>
      </c>
      <c r="M73" s="105" t="s">
        <v>15</v>
      </c>
    </row>
    <row r="74" spans="1:13" x14ac:dyDescent="0.25">
      <c r="A74" s="135" t="s">
        <v>168</v>
      </c>
      <c r="B74" s="88">
        <v>45854</v>
      </c>
      <c r="C74" s="17" t="s">
        <v>215</v>
      </c>
      <c r="D74" s="104" t="s">
        <v>7</v>
      </c>
      <c r="E74" s="99">
        <v>17949</v>
      </c>
      <c r="F74" s="99"/>
      <c r="G74" s="99"/>
      <c r="H74" s="122">
        <f t="shared" si="4"/>
        <v>17949</v>
      </c>
      <c r="I74" s="67">
        <f t="shared" si="5"/>
        <v>2737.9830508474588</v>
      </c>
      <c r="J74" s="71">
        <v>12321.06</v>
      </c>
      <c r="K74" s="67">
        <f t="shared" si="6"/>
        <v>2217.7907999999998</v>
      </c>
      <c r="L74" s="126">
        <f t="shared" si="7"/>
        <v>520.19225084745904</v>
      </c>
      <c r="M74" s="17" t="s">
        <v>15</v>
      </c>
    </row>
    <row r="75" spans="1:13" x14ac:dyDescent="0.25">
      <c r="A75" s="135" t="s">
        <v>145</v>
      </c>
      <c r="B75" s="88">
        <v>45880</v>
      </c>
      <c r="C75" s="17" t="s">
        <v>254</v>
      </c>
      <c r="D75" s="104" t="s">
        <v>7</v>
      </c>
      <c r="E75" s="99">
        <v>10902</v>
      </c>
      <c r="F75" s="99"/>
      <c r="G75" s="99"/>
      <c r="H75" s="122">
        <f t="shared" si="4"/>
        <v>10902</v>
      </c>
      <c r="I75" s="67">
        <f t="shared" si="5"/>
        <v>1663.016949152543</v>
      </c>
      <c r="J75" s="71">
        <v>7740.57</v>
      </c>
      <c r="K75" s="67">
        <f t="shared" si="6"/>
        <v>1393.3026</v>
      </c>
      <c r="L75" s="126">
        <f t="shared" si="7"/>
        <v>269.71434915254304</v>
      </c>
      <c r="M75" s="17" t="s">
        <v>15</v>
      </c>
    </row>
    <row r="76" spans="1:13" x14ac:dyDescent="0.25">
      <c r="A76" s="135" t="s">
        <v>132</v>
      </c>
      <c r="B76" s="88">
        <v>45880</v>
      </c>
      <c r="C76" s="17" t="s">
        <v>257</v>
      </c>
      <c r="D76" s="104" t="s">
        <v>7</v>
      </c>
      <c r="E76" s="99">
        <v>19985</v>
      </c>
      <c r="F76" s="99"/>
      <c r="G76" s="99"/>
      <c r="H76" s="122">
        <f t="shared" si="4"/>
        <v>19985</v>
      </c>
      <c r="I76" s="67">
        <f t="shared" si="5"/>
        <v>3048.5593220338997</v>
      </c>
      <c r="J76" s="71">
        <v>14189.76</v>
      </c>
      <c r="K76" s="67">
        <f t="shared" si="6"/>
        <v>2554.1567999999997</v>
      </c>
      <c r="L76" s="126">
        <f t="shared" si="7"/>
        <v>494.40252203389991</v>
      </c>
      <c r="M76" s="17" t="s">
        <v>15</v>
      </c>
    </row>
    <row r="77" spans="1:13" x14ac:dyDescent="0.25">
      <c r="A77" s="135" t="s">
        <v>258</v>
      </c>
      <c r="B77" s="88">
        <v>45880</v>
      </c>
      <c r="C77" s="17" t="s">
        <v>259</v>
      </c>
      <c r="D77" s="104" t="s">
        <v>7</v>
      </c>
      <c r="E77" s="99">
        <v>5954</v>
      </c>
      <c r="F77" s="99"/>
      <c r="G77" s="99"/>
      <c r="H77" s="122">
        <f t="shared" si="4"/>
        <v>5954</v>
      </c>
      <c r="I77" s="67">
        <f t="shared" si="5"/>
        <v>908.23728813559364</v>
      </c>
      <c r="J77" s="71">
        <v>4227.0600000000004</v>
      </c>
      <c r="K77" s="67">
        <f t="shared" si="6"/>
        <v>760.87080000000003</v>
      </c>
      <c r="L77" s="126">
        <f t="shared" si="7"/>
        <v>147.36648813559361</v>
      </c>
      <c r="M77" s="17" t="s">
        <v>15</v>
      </c>
    </row>
    <row r="78" spans="1:13" x14ac:dyDescent="0.25">
      <c r="A78" s="135" t="s">
        <v>260</v>
      </c>
      <c r="B78" s="88">
        <v>45881</v>
      </c>
      <c r="C78" s="17" t="s">
        <v>261</v>
      </c>
      <c r="D78" s="104" t="s">
        <v>13</v>
      </c>
      <c r="E78" s="99">
        <v>3682</v>
      </c>
      <c r="F78" s="99"/>
      <c r="G78" s="99"/>
      <c r="H78" s="122">
        <f t="shared" si="4"/>
        <v>3682</v>
      </c>
      <c r="I78" s="67">
        <f t="shared" si="5"/>
        <v>561.66101694915278</v>
      </c>
      <c r="J78" s="71">
        <v>2421.12</v>
      </c>
      <c r="K78" s="67">
        <f t="shared" si="6"/>
        <v>435.80159999999995</v>
      </c>
      <c r="L78" s="126">
        <f t="shared" si="7"/>
        <v>125.85941694915283</v>
      </c>
      <c r="M78" s="17" t="s">
        <v>15</v>
      </c>
    </row>
    <row r="79" spans="1:13" hidden="1" x14ac:dyDescent="0.25">
      <c r="A79" s="17" t="s">
        <v>95</v>
      </c>
      <c r="B79" s="88">
        <v>45882</v>
      </c>
      <c r="C79" s="17" t="s">
        <v>262</v>
      </c>
      <c r="D79" s="104" t="s">
        <v>263</v>
      </c>
      <c r="E79" s="99">
        <v>208034</v>
      </c>
      <c r="F79" s="99"/>
      <c r="G79" s="99">
        <v>208034</v>
      </c>
      <c r="H79" s="67">
        <f t="shared" si="4"/>
        <v>0</v>
      </c>
      <c r="I79" s="67">
        <f t="shared" si="5"/>
        <v>0</v>
      </c>
      <c r="J79" s="71">
        <v>0</v>
      </c>
      <c r="K79" s="67">
        <f t="shared" si="6"/>
        <v>0</v>
      </c>
      <c r="L79" s="126">
        <f t="shared" si="7"/>
        <v>0</v>
      </c>
      <c r="M79" s="17" t="s">
        <v>15</v>
      </c>
    </row>
    <row r="80" spans="1:13" hidden="1" x14ac:dyDescent="0.25">
      <c r="A80" s="135" t="s">
        <v>166</v>
      </c>
      <c r="B80" s="88">
        <v>45885</v>
      </c>
      <c r="C80" s="17" t="s">
        <v>270</v>
      </c>
      <c r="D80" s="104" t="s">
        <v>7</v>
      </c>
      <c r="E80" s="99">
        <v>5300</v>
      </c>
      <c r="F80" s="99"/>
      <c r="G80" s="99">
        <v>5300</v>
      </c>
      <c r="H80" s="122">
        <f t="shared" si="4"/>
        <v>0</v>
      </c>
      <c r="I80" s="67">
        <f t="shared" si="5"/>
        <v>0</v>
      </c>
      <c r="J80" s="71">
        <v>0</v>
      </c>
      <c r="K80" s="67">
        <f t="shared" si="6"/>
        <v>0</v>
      </c>
      <c r="L80" s="126">
        <f t="shared" si="7"/>
        <v>0</v>
      </c>
      <c r="M80" s="17" t="s">
        <v>15</v>
      </c>
    </row>
    <row r="81" spans="1:13" x14ac:dyDescent="0.25">
      <c r="A81" s="135" t="s">
        <v>168</v>
      </c>
      <c r="B81" s="88">
        <v>45885</v>
      </c>
      <c r="C81" s="17" t="s">
        <v>271</v>
      </c>
      <c r="D81" s="104" t="s">
        <v>7</v>
      </c>
      <c r="E81" s="99">
        <v>19646</v>
      </c>
      <c r="F81" s="99"/>
      <c r="G81" s="99"/>
      <c r="H81" s="122">
        <f t="shared" si="4"/>
        <v>19646</v>
      </c>
      <c r="I81" s="67">
        <f t="shared" si="5"/>
        <v>2996.8474576271201</v>
      </c>
      <c r="J81" s="71">
        <v>15913.17</v>
      </c>
      <c r="K81" s="67">
        <f t="shared" si="6"/>
        <v>2864.3705999999997</v>
      </c>
      <c r="L81" s="126">
        <f t="shared" si="7"/>
        <v>132.47685762712035</v>
      </c>
      <c r="M81" s="17" t="s">
        <v>15</v>
      </c>
    </row>
    <row r="82" spans="1:13" hidden="1" x14ac:dyDescent="0.25">
      <c r="A82" s="17" t="s">
        <v>186</v>
      </c>
      <c r="B82" s="88">
        <v>45888</v>
      </c>
      <c r="C82" s="17" t="s">
        <v>274</v>
      </c>
      <c r="D82" s="104" t="s">
        <v>13</v>
      </c>
      <c r="E82" s="99">
        <v>1008</v>
      </c>
      <c r="F82" s="99"/>
      <c r="G82" s="99">
        <v>1008</v>
      </c>
      <c r="H82" s="67">
        <f t="shared" si="4"/>
        <v>0</v>
      </c>
      <c r="I82" s="67">
        <f t="shared" si="5"/>
        <v>0</v>
      </c>
      <c r="J82" s="71">
        <v>0</v>
      </c>
      <c r="K82" s="67">
        <f t="shared" si="6"/>
        <v>0</v>
      </c>
      <c r="L82" s="126">
        <f t="shared" si="7"/>
        <v>0</v>
      </c>
      <c r="M82" s="17" t="s">
        <v>15</v>
      </c>
    </row>
    <row r="83" spans="1:13" hidden="1" x14ac:dyDescent="0.25">
      <c r="A83" s="135" t="s">
        <v>278</v>
      </c>
      <c r="B83" s="88">
        <v>45890</v>
      </c>
      <c r="C83" s="17" t="s">
        <v>279</v>
      </c>
      <c r="D83" s="104" t="s">
        <v>280</v>
      </c>
      <c r="E83" s="99">
        <v>2478</v>
      </c>
      <c r="F83" s="99"/>
      <c r="G83" s="99">
        <v>2478</v>
      </c>
      <c r="H83" s="122">
        <f t="shared" si="4"/>
        <v>0</v>
      </c>
      <c r="I83" s="67">
        <f t="shared" si="5"/>
        <v>0</v>
      </c>
      <c r="J83" s="71">
        <v>0</v>
      </c>
      <c r="K83" s="67">
        <f t="shared" si="6"/>
        <v>0</v>
      </c>
      <c r="L83" s="126">
        <f t="shared" si="7"/>
        <v>0</v>
      </c>
      <c r="M83" s="17" t="s">
        <v>15</v>
      </c>
    </row>
    <row r="84" spans="1:13" hidden="1" x14ac:dyDescent="0.25">
      <c r="A84" s="135" t="s">
        <v>278</v>
      </c>
      <c r="B84" s="88">
        <v>45890</v>
      </c>
      <c r="C84" s="17" t="s">
        <v>279</v>
      </c>
      <c r="D84" s="104" t="s">
        <v>281</v>
      </c>
      <c r="E84" s="99">
        <v>1918</v>
      </c>
      <c r="F84" s="99"/>
      <c r="G84" s="99">
        <v>1918</v>
      </c>
      <c r="H84" s="122">
        <f t="shared" si="4"/>
        <v>0</v>
      </c>
      <c r="I84" s="67">
        <f t="shared" si="5"/>
        <v>0</v>
      </c>
      <c r="J84" s="71">
        <v>0</v>
      </c>
      <c r="K84" s="67">
        <f t="shared" si="6"/>
        <v>0</v>
      </c>
      <c r="L84" s="126">
        <f t="shared" si="7"/>
        <v>0</v>
      </c>
      <c r="M84" s="17" t="s">
        <v>15</v>
      </c>
    </row>
    <row r="85" spans="1:13" x14ac:dyDescent="0.25">
      <c r="A85" s="135" t="s">
        <v>258</v>
      </c>
      <c r="B85" s="88">
        <v>45894</v>
      </c>
      <c r="C85" s="17" t="s">
        <v>284</v>
      </c>
      <c r="D85" s="104" t="s">
        <v>22</v>
      </c>
      <c r="E85" s="99">
        <v>6372</v>
      </c>
      <c r="F85" s="99"/>
      <c r="G85" s="99"/>
      <c r="H85" s="122">
        <f t="shared" si="4"/>
        <v>6372</v>
      </c>
      <c r="I85" s="67">
        <f t="shared" si="5"/>
        <v>972.00000000000045</v>
      </c>
      <c r="J85" s="71">
        <v>5130.01</v>
      </c>
      <c r="K85" s="67">
        <f t="shared" si="6"/>
        <v>923.40179999999998</v>
      </c>
      <c r="L85" s="126">
        <f t="shared" si="7"/>
        <v>48.598200000000475</v>
      </c>
      <c r="M85" s="17" t="s">
        <v>15</v>
      </c>
    </row>
    <row r="86" spans="1:13" x14ac:dyDescent="0.25">
      <c r="A86" s="135" t="s">
        <v>145</v>
      </c>
      <c r="B86" s="88">
        <v>45911</v>
      </c>
      <c r="C86" s="17" t="s">
        <v>321</v>
      </c>
      <c r="D86" s="104" t="s">
        <v>7</v>
      </c>
      <c r="E86" s="99">
        <v>11051</v>
      </c>
      <c r="F86" s="99"/>
      <c r="G86" s="99"/>
      <c r="H86" s="122">
        <f t="shared" si="4"/>
        <v>11051</v>
      </c>
      <c r="I86" s="67">
        <f t="shared" si="5"/>
        <v>1685.7457627118652</v>
      </c>
      <c r="J86" s="71">
        <v>7857.71</v>
      </c>
      <c r="K86" s="67">
        <f t="shared" si="6"/>
        <v>1414.3878</v>
      </c>
      <c r="L86" s="126">
        <f t="shared" si="7"/>
        <v>271.35796271186518</v>
      </c>
      <c r="M86" s="17" t="s">
        <v>15</v>
      </c>
    </row>
    <row r="87" spans="1:13" s="141" customFormat="1" hidden="1" x14ac:dyDescent="0.25">
      <c r="A87" s="135" t="s">
        <v>256</v>
      </c>
      <c r="B87" s="136">
        <v>45911</v>
      </c>
      <c r="C87" s="135" t="s">
        <v>322</v>
      </c>
      <c r="D87" s="137" t="s">
        <v>7</v>
      </c>
      <c r="E87" s="138">
        <v>16739</v>
      </c>
      <c r="F87" s="138"/>
      <c r="G87" s="138">
        <v>16739</v>
      </c>
      <c r="H87" s="139">
        <f t="shared" si="4"/>
        <v>0</v>
      </c>
      <c r="I87" s="139">
        <f t="shared" si="5"/>
        <v>0</v>
      </c>
      <c r="J87" s="140">
        <v>0</v>
      </c>
      <c r="K87" s="139">
        <f t="shared" si="6"/>
        <v>0</v>
      </c>
      <c r="L87" s="139">
        <f t="shared" si="7"/>
        <v>0</v>
      </c>
      <c r="M87" s="135" t="s">
        <v>15</v>
      </c>
    </row>
    <row r="88" spans="1:13" x14ac:dyDescent="0.25">
      <c r="A88" s="135" t="s">
        <v>258</v>
      </c>
      <c r="B88" s="88">
        <v>45911</v>
      </c>
      <c r="C88" s="17" t="s">
        <v>323</v>
      </c>
      <c r="D88" s="104" t="s">
        <v>7</v>
      </c>
      <c r="E88" s="99">
        <v>6023</v>
      </c>
      <c r="F88" s="99"/>
      <c r="G88" s="99"/>
      <c r="H88" s="122">
        <f t="shared" si="4"/>
        <v>6023</v>
      </c>
      <c r="I88" s="67">
        <f t="shared" si="5"/>
        <v>918.76271186440715</v>
      </c>
      <c r="J88" s="71">
        <v>4282.9799999999996</v>
      </c>
      <c r="K88" s="67">
        <f t="shared" si="6"/>
        <v>770.93639999999994</v>
      </c>
      <c r="L88" s="126">
        <f t="shared" si="7"/>
        <v>147.82631186440722</v>
      </c>
      <c r="M88" s="17" t="s">
        <v>15</v>
      </c>
    </row>
    <row r="89" spans="1:13" x14ac:dyDescent="0.25">
      <c r="A89" s="135" t="s">
        <v>324</v>
      </c>
      <c r="B89" s="88">
        <v>45911</v>
      </c>
      <c r="C89" s="17" t="s">
        <v>325</v>
      </c>
      <c r="D89" s="104" t="s">
        <v>7</v>
      </c>
      <c r="E89" s="99">
        <v>3716</v>
      </c>
      <c r="F89" s="99"/>
      <c r="G89" s="99"/>
      <c r="H89" s="122">
        <f t="shared" si="4"/>
        <v>3716</v>
      </c>
      <c r="I89" s="67">
        <f t="shared" si="5"/>
        <v>566.84745762711884</v>
      </c>
      <c r="J89" s="71">
        <v>2643.02</v>
      </c>
      <c r="K89" s="67">
        <f t="shared" si="6"/>
        <v>475.74359999999996</v>
      </c>
      <c r="L89" s="126">
        <f t="shared" si="7"/>
        <v>91.103857627118884</v>
      </c>
      <c r="M89" s="17" t="s">
        <v>15</v>
      </c>
    </row>
    <row r="90" spans="1:13" hidden="1" x14ac:dyDescent="0.25">
      <c r="A90" s="135" t="s">
        <v>166</v>
      </c>
      <c r="B90" s="88">
        <v>45911</v>
      </c>
      <c r="C90" s="17" t="s">
        <v>326</v>
      </c>
      <c r="D90" s="104" t="s">
        <v>7</v>
      </c>
      <c r="E90" s="99">
        <v>5266</v>
      </c>
      <c r="F90" s="99"/>
      <c r="G90" s="99">
        <v>5266</v>
      </c>
      <c r="H90" s="122">
        <f t="shared" si="4"/>
        <v>0</v>
      </c>
      <c r="I90" s="67">
        <f t="shared" si="5"/>
        <v>0</v>
      </c>
      <c r="J90" s="71">
        <v>0</v>
      </c>
      <c r="K90" s="67">
        <f t="shared" si="6"/>
        <v>0</v>
      </c>
      <c r="L90" s="126">
        <f t="shared" si="7"/>
        <v>0</v>
      </c>
      <c r="M90" s="17" t="s">
        <v>15</v>
      </c>
    </row>
    <row r="91" spans="1:13" x14ac:dyDescent="0.25">
      <c r="A91" s="135" t="s">
        <v>168</v>
      </c>
      <c r="B91" s="88">
        <v>45911</v>
      </c>
      <c r="C91" s="17" t="s">
        <v>327</v>
      </c>
      <c r="D91" s="104" t="s">
        <v>7</v>
      </c>
      <c r="E91" s="99">
        <v>19380</v>
      </c>
      <c r="F91" s="99"/>
      <c r="G91" s="99"/>
      <c r="H91" s="122">
        <f t="shared" si="4"/>
        <v>19380</v>
      </c>
      <c r="I91" s="67">
        <f t="shared" si="5"/>
        <v>2956.2711864406792</v>
      </c>
      <c r="J91" s="71">
        <v>15697.8</v>
      </c>
      <c r="K91" s="67">
        <f t="shared" si="6"/>
        <v>2825.6039999999998</v>
      </c>
      <c r="L91" s="126">
        <f t="shared" si="7"/>
        <v>130.66718644067942</v>
      </c>
      <c r="M91" s="17" t="s">
        <v>15</v>
      </c>
    </row>
    <row r="92" spans="1:13" x14ac:dyDescent="0.25">
      <c r="A92" s="135" t="s">
        <v>272</v>
      </c>
      <c r="B92" s="88">
        <v>45911</v>
      </c>
      <c r="C92" s="17" t="s">
        <v>328</v>
      </c>
      <c r="D92" s="104" t="s">
        <v>7</v>
      </c>
      <c r="E92" s="99">
        <v>23648</v>
      </c>
      <c r="F92" s="99"/>
      <c r="G92" s="99"/>
      <c r="H92" s="122">
        <f t="shared" si="4"/>
        <v>23648</v>
      </c>
      <c r="I92" s="67">
        <f t="shared" si="5"/>
        <v>3607.3220338983065</v>
      </c>
      <c r="J92" s="71">
        <v>16232.9</v>
      </c>
      <c r="K92" s="67">
        <f t="shared" si="6"/>
        <v>2921.922</v>
      </c>
      <c r="L92" s="126">
        <f t="shared" si="7"/>
        <v>685.40003389830645</v>
      </c>
      <c r="M92" s="17" t="s">
        <v>15</v>
      </c>
    </row>
    <row r="93" spans="1:13" x14ac:dyDescent="0.25">
      <c r="A93" s="135" t="s">
        <v>258</v>
      </c>
      <c r="B93" s="88">
        <v>45922</v>
      </c>
      <c r="C93" s="17" t="s">
        <v>359</v>
      </c>
      <c r="D93" s="104" t="s">
        <v>22</v>
      </c>
      <c r="E93" s="99">
        <v>6418</v>
      </c>
      <c r="F93" s="99"/>
      <c r="G93" s="99"/>
      <c r="H93" s="122">
        <f t="shared" si="4"/>
        <v>6418</v>
      </c>
      <c r="I93" s="67">
        <f t="shared" si="5"/>
        <v>979.01694915254279</v>
      </c>
      <c r="J93" s="71">
        <f>5439.39-271.97</f>
        <v>5167.42</v>
      </c>
      <c r="K93" s="67">
        <f t="shared" si="6"/>
        <v>930.13559999999995</v>
      </c>
      <c r="L93" s="126">
        <f t="shared" si="7"/>
        <v>48.881349152542839</v>
      </c>
      <c r="M93" s="17" t="s">
        <v>15</v>
      </c>
    </row>
    <row r="94" spans="1:13" hidden="1" x14ac:dyDescent="0.25">
      <c r="A94" s="17" t="s">
        <v>10</v>
      </c>
      <c r="B94" s="88">
        <v>45933</v>
      </c>
      <c r="C94" s="17" t="s">
        <v>366</v>
      </c>
      <c r="D94" s="104" t="s">
        <v>11</v>
      </c>
      <c r="E94" s="99"/>
      <c r="F94" s="99">
        <v>22196</v>
      </c>
      <c r="G94" s="99"/>
      <c r="H94" s="122">
        <f t="shared" si="4"/>
        <v>22196</v>
      </c>
      <c r="I94" s="67">
        <f t="shared" si="5"/>
        <v>3385.8305084745775</v>
      </c>
      <c r="J94" s="71">
        <v>0</v>
      </c>
      <c r="K94" s="67">
        <f t="shared" si="6"/>
        <v>0</v>
      </c>
      <c r="L94" s="126">
        <f t="shared" si="7"/>
        <v>3385.8305084745775</v>
      </c>
      <c r="M94" s="17" t="s">
        <v>15</v>
      </c>
    </row>
    <row r="95" spans="1:13" hidden="1" x14ac:dyDescent="0.25">
      <c r="A95" s="17" t="s">
        <v>10</v>
      </c>
      <c r="B95" s="88">
        <v>45933</v>
      </c>
      <c r="C95" s="17" t="s">
        <v>367</v>
      </c>
      <c r="D95" s="104" t="s">
        <v>368</v>
      </c>
      <c r="E95" s="99"/>
      <c r="F95" s="99">
        <v>39825</v>
      </c>
      <c r="G95" s="99"/>
      <c r="H95" s="122">
        <f t="shared" si="4"/>
        <v>39825</v>
      </c>
      <c r="I95" s="67">
        <f t="shared" si="5"/>
        <v>6075.0000000000027</v>
      </c>
      <c r="J95" s="71">
        <v>0</v>
      </c>
      <c r="K95" s="67">
        <f t="shared" si="6"/>
        <v>0</v>
      </c>
      <c r="L95" s="126">
        <f t="shared" si="7"/>
        <v>6075.0000000000027</v>
      </c>
      <c r="M95" s="17" t="s">
        <v>15</v>
      </c>
    </row>
    <row r="96" spans="1:13" hidden="1" x14ac:dyDescent="0.25">
      <c r="A96" s="17" t="s">
        <v>283</v>
      </c>
      <c r="B96" s="88">
        <v>45933</v>
      </c>
      <c r="C96" s="17" t="s">
        <v>375</v>
      </c>
      <c r="D96" s="104" t="s">
        <v>11</v>
      </c>
      <c r="E96" s="99"/>
      <c r="F96" s="99">
        <v>22243</v>
      </c>
      <c r="G96" s="99">
        <v>22243</v>
      </c>
      <c r="H96" s="67">
        <f t="shared" si="4"/>
        <v>0</v>
      </c>
      <c r="I96" s="67">
        <f t="shared" si="5"/>
        <v>0</v>
      </c>
      <c r="J96" s="71">
        <v>0</v>
      </c>
      <c r="K96" s="67">
        <f t="shared" si="6"/>
        <v>0</v>
      </c>
      <c r="L96" s="126">
        <f t="shared" si="7"/>
        <v>0</v>
      </c>
      <c r="M96" s="17" t="s">
        <v>15</v>
      </c>
    </row>
    <row r="97" spans="1:13" x14ac:dyDescent="0.25">
      <c r="A97" s="135" t="s">
        <v>17</v>
      </c>
      <c r="B97" s="88">
        <v>45784</v>
      </c>
      <c r="C97" s="17" t="s">
        <v>114</v>
      </c>
      <c r="D97" s="17" t="s">
        <v>18</v>
      </c>
      <c r="E97" s="73">
        <v>13861</v>
      </c>
      <c r="F97" s="73"/>
      <c r="G97" s="74"/>
      <c r="H97" s="122">
        <f t="shared" si="4"/>
        <v>13861</v>
      </c>
      <c r="I97" s="67">
        <f t="shared" si="5"/>
        <v>2114.3898305084754</v>
      </c>
      <c r="J97" s="74">
        <v>0</v>
      </c>
      <c r="K97" s="67">
        <f t="shared" si="6"/>
        <v>0</v>
      </c>
      <c r="L97" s="126">
        <f t="shared" si="7"/>
        <v>2114.3898305084754</v>
      </c>
      <c r="M97" s="22" t="s">
        <v>198</v>
      </c>
    </row>
    <row r="98" spans="1:13" x14ac:dyDescent="0.25">
      <c r="A98" s="134" t="s">
        <v>17</v>
      </c>
      <c r="B98" s="86">
        <v>45817</v>
      </c>
      <c r="C98" s="22" t="s">
        <v>142</v>
      </c>
      <c r="D98" s="23" t="s">
        <v>18</v>
      </c>
      <c r="E98" s="99">
        <v>2360</v>
      </c>
      <c r="F98" s="99"/>
      <c r="G98" s="67"/>
      <c r="H98" s="122">
        <f t="shared" si="4"/>
        <v>2360</v>
      </c>
      <c r="I98" s="67">
        <f t="shared" si="5"/>
        <v>360.00000000000017</v>
      </c>
      <c r="J98" s="67">
        <v>0</v>
      </c>
      <c r="K98" s="67">
        <f t="shared" si="6"/>
        <v>0</v>
      </c>
      <c r="L98" s="126">
        <f t="shared" si="7"/>
        <v>360.00000000000017</v>
      </c>
      <c r="M98" s="17" t="s">
        <v>198</v>
      </c>
    </row>
    <row r="99" spans="1:13" x14ac:dyDescent="0.25">
      <c r="A99" s="134" t="s">
        <v>187</v>
      </c>
      <c r="B99" s="86">
        <v>45841</v>
      </c>
      <c r="C99" s="22" t="s">
        <v>188</v>
      </c>
      <c r="D99" s="23" t="s">
        <v>11</v>
      </c>
      <c r="E99" s="99">
        <v>2142</v>
      </c>
      <c r="F99" s="99"/>
      <c r="G99" s="67"/>
      <c r="H99" s="122">
        <f t="shared" si="4"/>
        <v>2142</v>
      </c>
      <c r="I99" s="67">
        <f t="shared" si="5"/>
        <v>326.74576271186453</v>
      </c>
      <c r="J99" s="67">
        <v>0</v>
      </c>
      <c r="K99" s="67">
        <f t="shared" si="6"/>
        <v>0</v>
      </c>
      <c r="L99" s="126">
        <f t="shared" si="7"/>
        <v>326.74576271186453</v>
      </c>
      <c r="M99" s="17" t="s">
        <v>198</v>
      </c>
    </row>
    <row r="100" spans="1:13" x14ac:dyDescent="0.25">
      <c r="A100" s="134" t="s">
        <v>17</v>
      </c>
      <c r="B100" s="86">
        <v>45847</v>
      </c>
      <c r="C100" s="22" t="s">
        <v>197</v>
      </c>
      <c r="D100" s="23" t="s">
        <v>18</v>
      </c>
      <c r="E100" s="99">
        <v>3880</v>
      </c>
      <c r="F100" s="99"/>
      <c r="G100" s="67"/>
      <c r="H100" s="122">
        <f t="shared" si="4"/>
        <v>3880</v>
      </c>
      <c r="I100" s="67">
        <f t="shared" si="5"/>
        <v>591.86440677966129</v>
      </c>
      <c r="J100" s="67">
        <v>0</v>
      </c>
      <c r="K100" s="67">
        <f t="shared" si="6"/>
        <v>0</v>
      </c>
      <c r="L100" s="126">
        <f t="shared" si="7"/>
        <v>591.86440677966129</v>
      </c>
      <c r="M100" s="17" t="s">
        <v>198</v>
      </c>
    </row>
    <row r="101" spans="1:13" x14ac:dyDescent="0.25">
      <c r="A101" s="135" t="s">
        <v>17</v>
      </c>
      <c r="B101" s="86">
        <v>45877</v>
      </c>
      <c r="C101" s="22" t="s">
        <v>235</v>
      </c>
      <c r="D101" s="17" t="s">
        <v>18</v>
      </c>
      <c r="E101" s="99">
        <v>8239</v>
      </c>
      <c r="F101" s="99"/>
      <c r="G101" s="67"/>
      <c r="H101" s="122">
        <f t="shared" si="4"/>
        <v>8239</v>
      </c>
      <c r="I101" s="67">
        <f t="shared" si="5"/>
        <v>1256.7966101694922</v>
      </c>
      <c r="J101" s="67">
        <v>0</v>
      </c>
      <c r="K101" s="67">
        <f t="shared" si="6"/>
        <v>0</v>
      </c>
      <c r="L101" s="126">
        <f t="shared" si="7"/>
        <v>1256.7966101694922</v>
      </c>
      <c r="M101" s="17" t="s">
        <v>198</v>
      </c>
    </row>
    <row r="102" spans="1:13" x14ac:dyDescent="0.25">
      <c r="A102" s="134" t="s">
        <v>187</v>
      </c>
      <c r="B102" s="86">
        <v>45881</v>
      </c>
      <c r="C102" s="22" t="s">
        <v>237</v>
      </c>
      <c r="D102" s="23" t="s">
        <v>11</v>
      </c>
      <c r="E102" s="99">
        <v>2142</v>
      </c>
      <c r="F102" s="99"/>
      <c r="G102" s="67"/>
      <c r="H102" s="122">
        <f t="shared" si="4"/>
        <v>2142</v>
      </c>
      <c r="I102" s="67">
        <f t="shared" si="5"/>
        <v>326.74576271186453</v>
      </c>
      <c r="J102" s="74">
        <v>0</v>
      </c>
      <c r="K102" s="67">
        <f t="shared" si="6"/>
        <v>0</v>
      </c>
      <c r="L102" s="126">
        <f t="shared" si="7"/>
        <v>326.74576271186453</v>
      </c>
      <c r="M102" s="107" t="s">
        <v>236</v>
      </c>
    </row>
    <row r="103" spans="1:13" hidden="1" x14ac:dyDescent="0.25">
      <c r="A103" s="22" t="s">
        <v>187</v>
      </c>
      <c r="B103" s="86">
        <v>45933</v>
      </c>
      <c r="C103" s="22" t="s">
        <v>369</v>
      </c>
      <c r="D103" s="23" t="s">
        <v>11</v>
      </c>
      <c r="E103" s="99"/>
      <c r="F103" s="99">
        <v>21988</v>
      </c>
      <c r="G103" s="67"/>
      <c r="H103" s="122">
        <f t="shared" si="4"/>
        <v>21988</v>
      </c>
      <c r="I103" s="67">
        <f t="shared" si="5"/>
        <v>3354.1016949152558</v>
      </c>
      <c r="J103" s="74">
        <v>0</v>
      </c>
      <c r="K103" s="67">
        <f t="shared" si="6"/>
        <v>0</v>
      </c>
      <c r="L103" s="126">
        <f t="shared" si="7"/>
        <v>3354.1016949152558</v>
      </c>
      <c r="M103" s="107" t="s">
        <v>236</v>
      </c>
    </row>
    <row r="104" spans="1:13" hidden="1" x14ac:dyDescent="0.25">
      <c r="A104" s="22" t="s">
        <v>115</v>
      </c>
      <c r="B104" s="86">
        <v>45868</v>
      </c>
      <c r="C104" s="22" t="s">
        <v>226</v>
      </c>
      <c r="D104" s="23" t="s">
        <v>11</v>
      </c>
      <c r="E104" s="73">
        <v>9440</v>
      </c>
      <c r="F104" s="73"/>
      <c r="G104" s="73">
        <v>9440</v>
      </c>
      <c r="H104" s="67">
        <f t="shared" si="4"/>
        <v>0</v>
      </c>
      <c r="I104" s="67">
        <f t="shared" si="5"/>
        <v>0</v>
      </c>
      <c r="J104" s="71">
        <v>0</v>
      </c>
      <c r="K104" s="67">
        <f t="shared" si="6"/>
        <v>0</v>
      </c>
      <c r="L104" s="126">
        <f t="shared" si="7"/>
        <v>0</v>
      </c>
      <c r="M104" s="87" t="s">
        <v>120</v>
      </c>
    </row>
    <row r="105" spans="1:13" x14ac:dyDescent="0.25">
      <c r="A105" s="135" t="s">
        <v>36</v>
      </c>
      <c r="B105" s="88">
        <v>45896</v>
      </c>
      <c r="C105" s="17" t="s">
        <v>286</v>
      </c>
      <c r="D105" s="23" t="s">
        <v>287</v>
      </c>
      <c r="E105" s="73">
        <v>1593</v>
      </c>
      <c r="F105" s="73"/>
      <c r="G105" s="74"/>
      <c r="H105" s="122">
        <f t="shared" si="4"/>
        <v>1593</v>
      </c>
      <c r="I105" s="67">
        <f t="shared" si="5"/>
        <v>243.00000000000011</v>
      </c>
      <c r="J105" s="67">
        <v>0</v>
      </c>
      <c r="K105" s="67">
        <f t="shared" si="6"/>
        <v>0</v>
      </c>
      <c r="L105" s="126">
        <f t="shared" si="7"/>
        <v>243.00000000000011</v>
      </c>
      <c r="M105" s="17" t="s">
        <v>120</v>
      </c>
    </row>
    <row r="106" spans="1:13" hidden="1" x14ac:dyDescent="0.25">
      <c r="A106" s="17" t="s">
        <v>381</v>
      </c>
      <c r="B106" s="88">
        <v>45933</v>
      </c>
      <c r="C106" s="17" t="s">
        <v>382</v>
      </c>
      <c r="D106" s="17" t="s">
        <v>34</v>
      </c>
      <c r="E106" s="99"/>
      <c r="F106" s="99">
        <v>2921</v>
      </c>
      <c r="G106" s="67">
        <v>2921</v>
      </c>
      <c r="H106" s="67">
        <f t="shared" si="4"/>
        <v>0</v>
      </c>
      <c r="I106" s="67">
        <f t="shared" si="5"/>
        <v>0</v>
      </c>
      <c r="J106" s="120">
        <v>0</v>
      </c>
      <c r="K106" s="120">
        <f t="shared" si="6"/>
        <v>0</v>
      </c>
      <c r="L106" s="127">
        <f t="shared" si="7"/>
        <v>0</v>
      </c>
      <c r="M106" s="17" t="s">
        <v>12</v>
      </c>
    </row>
    <row r="107" spans="1:13" hidden="1" x14ac:dyDescent="0.25">
      <c r="A107" s="17" t="s">
        <v>383</v>
      </c>
      <c r="B107" s="88">
        <v>45934</v>
      </c>
      <c r="C107" s="17" t="s">
        <v>384</v>
      </c>
      <c r="D107" s="17" t="s">
        <v>137</v>
      </c>
      <c r="E107" s="99"/>
      <c r="F107" s="99">
        <v>1628</v>
      </c>
      <c r="G107" s="67">
        <v>1628</v>
      </c>
      <c r="H107" s="122">
        <f t="shared" si="4"/>
        <v>0</v>
      </c>
      <c r="I107" s="67">
        <f t="shared" si="5"/>
        <v>0</v>
      </c>
      <c r="K107" s="120">
        <f t="shared" si="6"/>
        <v>0</v>
      </c>
      <c r="L107" s="127">
        <f t="shared" si="7"/>
        <v>0</v>
      </c>
      <c r="M107" s="17" t="s">
        <v>12</v>
      </c>
    </row>
    <row r="108" spans="1:13" hidden="1" x14ac:dyDescent="0.25">
      <c r="A108" s="22" t="s">
        <v>278</v>
      </c>
      <c r="B108" s="86">
        <v>45937</v>
      </c>
      <c r="C108" s="22" t="s">
        <v>401</v>
      </c>
      <c r="D108" s="23" t="s">
        <v>280</v>
      </c>
      <c r="E108" s="99"/>
      <c r="F108" s="99">
        <v>29736</v>
      </c>
      <c r="G108" s="67"/>
      <c r="H108" s="122">
        <v>29736</v>
      </c>
      <c r="I108" s="67">
        <f t="shared" si="5"/>
        <v>4536.0000000000018</v>
      </c>
      <c r="K108" s="120">
        <f t="shared" si="6"/>
        <v>0</v>
      </c>
      <c r="L108" s="127">
        <f t="shared" si="7"/>
        <v>4536.0000000000018</v>
      </c>
      <c r="M108" s="17" t="s">
        <v>8</v>
      </c>
    </row>
    <row r="109" spans="1:13" hidden="1" x14ac:dyDescent="0.25">
      <c r="A109" s="22" t="s">
        <v>278</v>
      </c>
      <c r="B109" s="86">
        <v>45937</v>
      </c>
      <c r="C109" s="22" t="s">
        <v>401</v>
      </c>
      <c r="D109" s="23" t="s">
        <v>281</v>
      </c>
      <c r="E109" s="99"/>
      <c r="F109" s="99">
        <v>23010</v>
      </c>
      <c r="G109" s="67"/>
      <c r="H109" s="122">
        <v>23010</v>
      </c>
      <c r="I109" s="67">
        <f t="shared" si="5"/>
        <v>3510.0000000000014</v>
      </c>
      <c r="K109" s="120">
        <f t="shared" si="6"/>
        <v>0</v>
      </c>
      <c r="L109" s="127">
        <f t="shared" si="7"/>
        <v>3510.0000000000014</v>
      </c>
      <c r="M109" s="17" t="s">
        <v>8</v>
      </c>
    </row>
    <row r="110" spans="1:13" hidden="1" x14ac:dyDescent="0.25">
      <c r="A110" s="17" t="s">
        <v>391</v>
      </c>
      <c r="B110" s="88">
        <v>45937</v>
      </c>
      <c r="C110" s="17" t="s">
        <v>392</v>
      </c>
      <c r="D110" s="17" t="s">
        <v>393</v>
      </c>
      <c r="E110" s="99"/>
      <c r="F110" s="99">
        <v>354</v>
      </c>
      <c r="G110" s="67">
        <v>354</v>
      </c>
      <c r="H110" s="67">
        <v>0</v>
      </c>
      <c r="I110" s="67">
        <f t="shared" si="5"/>
        <v>0</v>
      </c>
      <c r="K110" s="120">
        <f t="shared" si="6"/>
        <v>0</v>
      </c>
      <c r="L110" s="127">
        <f t="shared" si="7"/>
        <v>0</v>
      </c>
      <c r="M110" s="17" t="s">
        <v>12</v>
      </c>
    </row>
    <row r="111" spans="1:13" hidden="1" x14ac:dyDescent="0.25">
      <c r="A111" s="17" t="s">
        <v>397</v>
      </c>
      <c r="B111" s="88">
        <v>45937</v>
      </c>
      <c r="C111" s="17" t="s">
        <v>398</v>
      </c>
      <c r="D111" s="17" t="s">
        <v>184</v>
      </c>
      <c r="E111" s="99"/>
      <c r="F111" s="99">
        <v>5045</v>
      </c>
      <c r="G111" s="67">
        <v>5045</v>
      </c>
      <c r="H111" s="67">
        <v>0</v>
      </c>
      <c r="I111" s="67">
        <f t="shared" si="5"/>
        <v>0</v>
      </c>
      <c r="K111" s="120">
        <f t="shared" si="6"/>
        <v>0</v>
      </c>
      <c r="L111" s="127">
        <f t="shared" si="7"/>
        <v>0</v>
      </c>
      <c r="M111" s="17" t="s">
        <v>12</v>
      </c>
    </row>
    <row r="112" spans="1:13" hidden="1" x14ac:dyDescent="0.25">
      <c r="A112" s="17" t="s">
        <v>399</v>
      </c>
      <c r="B112" s="88">
        <v>45937</v>
      </c>
      <c r="C112" s="17" t="s">
        <v>400</v>
      </c>
      <c r="D112" s="17" t="s">
        <v>92</v>
      </c>
      <c r="E112" s="99"/>
      <c r="F112" s="99">
        <v>25222</v>
      </c>
      <c r="G112" s="67">
        <v>25222</v>
      </c>
      <c r="H112" s="67">
        <v>0</v>
      </c>
      <c r="I112" s="67">
        <f t="shared" si="5"/>
        <v>0</v>
      </c>
      <c r="K112" s="120">
        <f t="shared" si="6"/>
        <v>0</v>
      </c>
      <c r="L112" s="127">
        <f t="shared" si="7"/>
        <v>0</v>
      </c>
      <c r="M112" s="17" t="s">
        <v>12</v>
      </c>
    </row>
    <row r="113" spans="1:13" hidden="1" x14ac:dyDescent="0.25">
      <c r="A113" s="22" t="s">
        <v>370</v>
      </c>
      <c r="B113" s="86">
        <v>45937</v>
      </c>
      <c r="C113" s="22" t="s">
        <v>388</v>
      </c>
      <c r="D113" s="23" t="s">
        <v>370</v>
      </c>
      <c r="E113" s="99"/>
      <c r="F113" s="99">
        <v>5310</v>
      </c>
      <c r="G113" s="67">
        <v>5310</v>
      </c>
      <c r="H113" s="67">
        <v>0</v>
      </c>
      <c r="I113" s="67">
        <f t="shared" si="5"/>
        <v>0</v>
      </c>
      <c r="K113" s="120">
        <f t="shared" si="6"/>
        <v>0</v>
      </c>
      <c r="L113" s="127">
        <f t="shared" si="7"/>
        <v>0</v>
      </c>
      <c r="M113" s="17" t="s">
        <v>9</v>
      </c>
    </row>
    <row r="114" spans="1:13" hidden="1" x14ac:dyDescent="0.25">
      <c r="A114" s="17" t="s">
        <v>373</v>
      </c>
      <c r="B114" s="88">
        <v>45937</v>
      </c>
      <c r="C114" s="17" t="s">
        <v>385</v>
      </c>
      <c r="D114" s="104" t="s">
        <v>276</v>
      </c>
      <c r="E114" s="99"/>
      <c r="F114" s="99">
        <v>118000</v>
      </c>
      <c r="G114" s="67"/>
      <c r="H114" s="122">
        <v>118000</v>
      </c>
      <c r="I114" s="67">
        <f t="shared" si="5"/>
        <v>18000.000000000007</v>
      </c>
      <c r="K114" s="120">
        <f t="shared" si="6"/>
        <v>0</v>
      </c>
      <c r="L114" s="127">
        <f t="shared" si="7"/>
        <v>18000.000000000007</v>
      </c>
      <c r="M114" s="17" t="s">
        <v>6</v>
      </c>
    </row>
    <row r="115" spans="1:13" hidden="1" x14ac:dyDescent="0.25">
      <c r="A115" s="17" t="s">
        <v>373</v>
      </c>
      <c r="B115" s="88">
        <v>45937</v>
      </c>
      <c r="C115" s="17" t="s">
        <v>386</v>
      </c>
      <c r="D115" s="104" t="s">
        <v>387</v>
      </c>
      <c r="E115" s="99"/>
      <c r="F115" s="99">
        <v>29500</v>
      </c>
      <c r="G115" s="67"/>
      <c r="H115" s="122">
        <v>29500</v>
      </c>
      <c r="I115" s="67">
        <f t="shared" si="5"/>
        <v>4500.0000000000018</v>
      </c>
      <c r="K115" s="120">
        <f t="shared" si="6"/>
        <v>0</v>
      </c>
      <c r="L115" s="127">
        <f t="shared" si="7"/>
        <v>4500.0000000000018</v>
      </c>
      <c r="M115" s="17" t="s">
        <v>6</v>
      </c>
    </row>
    <row r="116" spans="1:13" hidden="1" x14ac:dyDescent="0.25">
      <c r="A116" s="17" t="s">
        <v>373</v>
      </c>
      <c r="B116" s="88">
        <v>45937</v>
      </c>
      <c r="C116" s="17" t="s">
        <v>408</v>
      </c>
      <c r="D116" s="104" t="s">
        <v>40</v>
      </c>
      <c r="E116" s="99"/>
      <c r="F116" s="99">
        <v>23600</v>
      </c>
      <c r="G116" s="67"/>
      <c r="H116" s="122">
        <v>23600</v>
      </c>
      <c r="I116" s="67">
        <f t="shared" si="5"/>
        <v>3600.0000000000014</v>
      </c>
      <c r="K116" s="120">
        <f t="shared" si="6"/>
        <v>0</v>
      </c>
      <c r="L116" s="127">
        <f t="shared" si="7"/>
        <v>3600.0000000000014</v>
      </c>
      <c r="M116" s="17" t="s">
        <v>6</v>
      </c>
    </row>
    <row r="117" spans="1:13" hidden="1" x14ac:dyDescent="0.25">
      <c r="A117" s="17" t="s">
        <v>394</v>
      </c>
      <c r="B117" s="88">
        <v>45937</v>
      </c>
      <c r="C117" s="17" t="s">
        <v>395</v>
      </c>
      <c r="D117" s="104" t="s">
        <v>396</v>
      </c>
      <c r="E117" s="99"/>
      <c r="F117" s="99">
        <v>9195</v>
      </c>
      <c r="G117" s="99"/>
      <c r="H117" s="123">
        <v>9195</v>
      </c>
      <c r="I117" s="67">
        <f t="shared" si="5"/>
        <v>1402.6271186440683</v>
      </c>
      <c r="K117" s="120">
        <f t="shared" si="6"/>
        <v>0</v>
      </c>
      <c r="L117" s="127">
        <f t="shared" si="7"/>
        <v>1402.6271186440683</v>
      </c>
      <c r="M117" s="17" t="s">
        <v>15</v>
      </c>
    </row>
    <row r="118" spans="1:13" hidden="1" x14ac:dyDescent="0.25">
      <c r="A118" s="17" t="s">
        <v>340</v>
      </c>
      <c r="B118" s="88">
        <v>45938</v>
      </c>
      <c r="C118" s="17" t="s">
        <v>414</v>
      </c>
      <c r="D118" s="23" t="s">
        <v>16</v>
      </c>
      <c r="E118" s="99"/>
      <c r="F118" s="99">
        <v>29500</v>
      </c>
      <c r="G118" s="99">
        <v>29500</v>
      </c>
      <c r="H118" s="122">
        <v>29500</v>
      </c>
      <c r="I118" s="67">
        <f t="shared" si="5"/>
        <v>4500.0000000000018</v>
      </c>
      <c r="J118" s="124">
        <v>0</v>
      </c>
      <c r="K118" s="120">
        <f t="shared" si="6"/>
        <v>0</v>
      </c>
      <c r="L118" s="127">
        <v>0</v>
      </c>
      <c r="M118" s="17" t="s">
        <v>28</v>
      </c>
    </row>
    <row r="119" spans="1:13" hidden="1" x14ac:dyDescent="0.25">
      <c r="A119" s="17" t="s">
        <v>158</v>
      </c>
      <c r="B119" s="88">
        <v>45938</v>
      </c>
      <c r="C119" s="17" t="s">
        <v>406</v>
      </c>
      <c r="D119" s="17" t="s">
        <v>41</v>
      </c>
      <c r="E119" s="99"/>
      <c r="F119" s="99">
        <v>6608</v>
      </c>
      <c r="G119" s="67">
        <v>6608</v>
      </c>
      <c r="H119" s="67">
        <v>0</v>
      </c>
      <c r="I119" s="67">
        <f t="shared" si="5"/>
        <v>0</v>
      </c>
      <c r="K119" s="120">
        <f t="shared" si="6"/>
        <v>0</v>
      </c>
      <c r="L119" s="127">
        <f t="shared" si="7"/>
        <v>0</v>
      </c>
      <c r="M119" s="17" t="s">
        <v>12</v>
      </c>
    </row>
    <row r="120" spans="1:13" hidden="1" x14ac:dyDescent="0.25">
      <c r="A120" s="17" t="s">
        <v>404</v>
      </c>
      <c r="B120" s="88">
        <v>45938</v>
      </c>
      <c r="C120" s="17" t="s">
        <v>407</v>
      </c>
      <c r="D120" s="17" t="s">
        <v>34</v>
      </c>
      <c r="E120" s="99"/>
      <c r="F120" s="99">
        <v>9558</v>
      </c>
      <c r="G120" s="67">
        <v>9558</v>
      </c>
      <c r="H120" s="67">
        <v>0</v>
      </c>
      <c r="I120" s="67">
        <f t="shared" si="5"/>
        <v>0</v>
      </c>
      <c r="K120" s="120">
        <f t="shared" si="6"/>
        <v>0</v>
      </c>
      <c r="L120" s="127">
        <f t="shared" si="7"/>
        <v>0</v>
      </c>
      <c r="M120" s="17" t="s">
        <v>12</v>
      </c>
    </row>
    <row r="121" spans="1:13" hidden="1" x14ac:dyDescent="0.25">
      <c r="A121" s="17" t="s">
        <v>412</v>
      </c>
      <c r="B121" s="88">
        <v>45938</v>
      </c>
      <c r="C121" s="17" t="s">
        <v>413</v>
      </c>
      <c r="D121" s="17" t="s">
        <v>34</v>
      </c>
      <c r="E121" s="99"/>
      <c r="F121" s="99">
        <v>5310</v>
      </c>
      <c r="G121" s="67"/>
      <c r="H121" s="122">
        <v>5310</v>
      </c>
      <c r="I121" s="67">
        <f t="shared" si="5"/>
        <v>810.00000000000034</v>
      </c>
      <c r="K121" s="120">
        <f t="shared" si="6"/>
        <v>0</v>
      </c>
      <c r="L121" s="127">
        <f t="shared" si="7"/>
        <v>810.00000000000034</v>
      </c>
      <c r="M121" s="17" t="s">
        <v>12</v>
      </c>
    </row>
    <row r="122" spans="1:13" hidden="1" x14ac:dyDescent="0.25">
      <c r="A122" s="17" t="s">
        <v>402</v>
      </c>
      <c r="B122" s="88">
        <v>45938</v>
      </c>
      <c r="C122" s="17" t="s">
        <v>416</v>
      </c>
      <c r="D122" s="17" t="s">
        <v>34</v>
      </c>
      <c r="E122" s="99"/>
      <c r="F122" s="99">
        <v>9558</v>
      </c>
      <c r="G122" s="67">
        <v>9558</v>
      </c>
      <c r="H122" s="67">
        <v>0</v>
      </c>
      <c r="I122" s="67">
        <f t="shared" si="5"/>
        <v>0</v>
      </c>
      <c r="K122" s="120">
        <f t="shared" si="6"/>
        <v>0</v>
      </c>
      <c r="L122" s="127">
        <f t="shared" si="7"/>
        <v>0</v>
      </c>
      <c r="M122" s="17" t="s">
        <v>12</v>
      </c>
    </row>
    <row r="123" spans="1:13" hidden="1" x14ac:dyDescent="0.25">
      <c r="A123" s="22" t="s">
        <v>190</v>
      </c>
      <c r="B123" s="86">
        <v>45938</v>
      </c>
      <c r="C123" s="22" t="s">
        <v>415</v>
      </c>
      <c r="D123" s="23" t="s">
        <v>41</v>
      </c>
      <c r="E123" s="99"/>
      <c r="F123" s="99">
        <v>4956</v>
      </c>
      <c r="G123" s="67">
        <v>4956</v>
      </c>
      <c r="H123" s="67">
        <v>0</v>
      </c>
      <c r="I123" s="67">
        <f t="shared" si="5"/>
        <v>0</v>
      </c>
      <c r="K123" s="120">
        <f t="shared" si="6"/>
        <v>0</v>
      </c>
      <c r="L123" s="127">
        <f t="shared" si="7"/>
        <v>0</v>
      </c>
      <c r="M123" s="17" t="s">
        <v>9</v>
      </c>
    </row>
    <row r="124" spans="1:13" hidden="1" x14ac:dyDescent="0.25">
      <c r="A124" s="17" t="s">
        <v>409</v>
      </c>
      <c r="B124" s="88">
        <v>45938</v>
      </c>
      <c r="C124" s="17" t="s">
        <v>410</v>
      </c>
      <c r="D124" s="104" t="s">
        <v>137</v>
      </c>
      <c r="E124" s="99"/>
      <c r="F124" s="99">
        <v>95545</v>
      </c>
      <c r="G124" s="99">
        <v>95545</v>
      </c>
      <c r="H124" s="71">
        <v>0</v>
      </c>
      <c r="I124" s="67">
        <f t="shared" si="5"/>
        <v>0</v>
      </c>
      <c r="K124" s="120">
        <f t="shared" si="6"/>
        <v>0</v>
      </c>
      <c r="L124" s="127">
        <f t="shared" si="7"/>
        <v>0</v>
      </c>
      <c r="M124" s="17" t="s">
        <v>15</v>
      </c>
    </row>
    <row r="125" spans="1:13" hidden="1" x14ac:dyDescent="0.25">
      <c r="A125" s="22" t="s">
        <v>115</v>
      </c>
      <c r="B125" s="88">
        <v>45938</v>
      </c>
      <c r="C125" s="17" t="s">
        <v>417</v>
      </c>
      <c r="D125" s="23" t="s">
        <v>11</v>
      </c>
      <c r="E125" s="118"/>
      <c r="F125" s="118">
        <v>9440</v>
      </c>
      <c r="G125" s="117"/>
      <c r="H125" s="122">
        <v>9440</v>
      </c>
      <c r="I125" s="67">
        <f t="shared" si="5"/>
        <v>1440.0000000000007</v>
      </c>
      <c r="K125" s="120">
        <f t="shared" si="6"/>
        <v>0</v>
      </c>
      <c r="L125" s="127">
        <f t="shared" si="7"/>
        <v>1440.0000000000007</v>
      </c>
      <c r="M125" s="87" t="s">
        <v>120</v>
      </c>
    </row>
    <row r="126" spans="1:13" hidden="1" x14ac:dyDescent="0.25">
      <c r="A126" s="17" t="s">
        <v>127</v>
      </c>
      <c r="B126" s="88">
        <v>45939</v>
      </c>
      <c r="C126" s="17" t="s">
        <v>423</v>
      </c>
      <c r="D126" s="23" t="s">
        <v>16</v>
      </c>
      <c r="E126" s="99"/>
      <c r="F126" s="99">
        <v>44250</v>
      </c>
      <c r="G126" s="99">
        <v>10000</v>
      </c>
      <c r="H126" s="67">
        <v>34250</v>
      </c>
      <c r="I126" s="67">
        <f t="shared" si="5"/>
        <v>5224.5762711864427</v>
      </c>
      <c r="J126" s="124">
        <v>0</v>
      </c>
      <c r="K126" s="120">
        <f t="shared" si="6"/>
        <v>0</v>
      </c>
      <c r="L126" s="127">
        <f t="shared" si="7"/>
        <v>5224.5762711864427</v>
      </c>
      <c r="M126" s="17" t="s">
        <v>28</v>
      </c>
    </row>
    <row r="127" spans="1:13" hidden="1" x14ac:dyDescent="0.25">
      <c r="A127" s="17" t="s">
        <v>419</v>
      </c>
      <c r="B127" s="88">
        <v>45939</v>
      </c>
      <c r="C127" s="17" t="s">
        <v>420</v>
      </c>
      <c r="D127" s="17" t="s">
        <v>92</v>
      </c>
      <c r="E127" s="99"/>
      <c r="F127" s="99">
        <v>26550</v>
      </c>
      <c r="G127" s="67"/>
      <c r="H127" s="67">
        <v>26550</v>
      </c>
      <c r="I127" s="67">
        <f t="shared" si="5"/>
        <v>4050.0000000000018</v>
      </c>
      <c r="J127">
        <v>19800</v>
      </c>
      <c r="K127" s="120">
        <f t="shared" si="6"/>
        <v>3564</v>
      </c>
      <c r="L127" s="127">
        <f t="shared" si="7"/>
        <v>486.00000000000182</v>
      </c>
      <c r="M127" s="17" t="s">
        <v>12</v>
      </c>
    </row>
    <row r="128" spans="1:13" hidden="1" x14ac:dyDescent="0.25">
      <c r="A128" s="17" t="s">
        <v>337</v>
      </c>
      <c r="B128" s="88">
        <v>45939</v>
      </c>
      <c r="C128" s="17" t="s">
        <v>418</v>
      </c>
      <c r="D128" s="17" t="s">
        <v>289</v>
      </c>
      <c r="E128" s="99"/>
      <c r="F128" s="99">
        <v>28674</v>
      </c>
      <c r="G128" s="67">
        <v>28674</v>
      </c>
      <c r="H128" s="67">
        <v>0</v>
      </c>
      <c r="I128" s="67">
        <f t="shared" si="5"/>
        <v>0</v>
      </c>
      <c r="J128" s="120">
        <v>0</v>
      </c>
      <c r="K128" s="120">
        <f t="shared" si="6"/>
        <v>0</v>
      </c>
      <c r="L128" s="127">
        <f t="shared" si="7"/>
        <v>0</v>
      </c>
      <c r="M128" s="17" t="s">
        <v>12</v>
      </c>
    </row>
    <row r="129" spans="1:13" hidden="1" x14ac:dyDescent="0.25">
      <c r="A129" s="17" t="s">
        <v>216</v>
      </c>
      <c r="B129" s="88">
        <v>45939</v>
      </c>
      <c r="C129" s="17" t="s">
        <v>422</v>
      </c>
      <c r="D129" s="17" t="s">
        <v>123</v>
      </c>
      <c r="E129" s="99"/>
      <c r="F129" s="99">
        <v>1421</v>
      </c>
      <c r="G129" s="67"/>
      <c r="H129" s="67">
        <v>1421</v>
      </c>
      <c r="I129" s="67">
        <f t="shared" si="5"/>
        <v>216.76271186440687</v>
      </c>
      <c r="J129">
        <v>1079.6600000000001</v>
      </c>
      <c r="K129" s="120">
        <f t="shared" si="6"/>
        <v>194.33880000000002</v>
      </c>
      <c r="L129" s="127">
        <f t="shared" si="7"/>
        <v>22.423911864406847</v>
      </c>
      <c r="M129" s="17" t="s">
        <v>12</v>
      </c>
    </row>
    <row r="130" spans="1:13" hidden="1" x14ac:dyDescent="0.25">
      <c r="A130" s="23" t="s">
        <v>17</v>
      </c>
      <c r="B130" s="86">
        <v>45940</v>
      </c>
      <c r="C130" s="22" t="s">
        <v>431</v>
      </c>
      <c r="D130" s="23" t="s">
        <v>18</v>
      </c>
      <c r="E130" s="99"/>
      <c r="F130" s="99">
        <v>45469</v>
      </c>
      <c r="G130" s="67"/>
      <c r="H130" s="67">
        <v>45469</v>
      </c>
      <c r="I130" s="67">
        <f t="shared" si="5"/>
        <v>6935.9491525423755</v>
      </c>
      <c r="J130">
        <v>0</v>
      </c>
      <c r="K130" s="120">
        <f t="shared" si="6"/>
        <v>0</v>
      </c>
      <c r="L130" s="127">
        <f t="shared" si="7"/>
        <v>6935.9491525423755</v>
      </c>
      <c r="M130" s="17" t="s">
        <v>8</v>
      </c>
    </row>
    <row r="131" spans="1:13" hidden="1" x14ac:dyDescent="0.25">
      <c r="A131" s="23" t="s">
        <v>17</v>
      </c>
      <c r="B131" s="86">
        <v>45940</v>
      </c>
      <c r="C131" s="22" t="s">
        <v>433</v>
      </c>
      <c r="D131" s="23" t="s">
        <v>18</v>
      </c>
      <c r="E131" s="99"/>
      <c r="F131" s="99">
        <v>5900</v>
      </c>
      <c r="G131" s="67"/>
      <c r="H131" s="67">
        <v>5900</v>
      </c>
      <c r="I131" s="67">
        <f t="shared" ref="I131:I142" si="8">+H131*0.152542372881356</f>
        <v>900.00000000000034</v>
      </c>
      <c r="J131">
        <v>0</v>
      </c>
      <c r="K131" s="120">
        <f t="shared" si="6"/>
        <v>0</v>
      </c>
      <c r="L131" s="127">
        <f t="shared" ref="L131:L141" si="9">+I131-K131</f>
        <v>900.00000000000034</v>
      </c>
      <c r="M131" s="17" t="s">
        <v>8</v>
      </c>
    </row>
    <row r="132" spans="1:13" hidden="1" x14ac:dyDescent="0.25">
      <c r="A132" s="17" t="s">
        <v>405</v>
      </c>
      <c r="B132" s="88">
        <v>45940</v>
      </c>
      <c r="C132" s="17" t="s">
        <v>425</v>
      </c>
      <c r="D132" s="17" t="s">
        <v>289</v>
      </c>
      <c r="E132" s="99"/>
      <c r="F132" s="99">
        <v>28674</v>
      </c>
      <c r="G132" s="67"/>
      <c r="H132" s="67">
        <v>28674</v>
      </c>
      <c r="I132" s="67">
        <f t="shared" si="8"/>
        <v>4374.0000000000018</v>
      </c>
      <c r="J132">
        <v>21506</v>
      </c>
      <c r="K132" s="120">
        <f t="shared" si="6"/>
        <v>3871.08</v>
      </c>
      <c r="L132" s="127">
        <f t="shared" si="9"/>
        <v>502.92000000000189</v>
      </c>
      <c r="M132" s="17" t="s">
        <v>12</v>
      </c>
    </row>
    <row r="133" spans="1:13" hidden="1" x14ac:dyDescent="0.25">
      <c r="A133" s="17" t="s">
        <v>403</v>
      </c>
      <c r="B133" s="88">
        <v>45940</v>
      </c>
      <c r="C133" s="17" t="s">
        <v>428</v>
      </c>
      <c r="D133" s="17" t="s">
        <v>34</v>
      </c>
      <c r="E133" s="99"/>
      <c r="F133" s="99">
        <v>9558</v>
      </c>
      <c r="G133" s="67">
        <v>9558</v>
      </c>
      <c r="H133" s="67">
        <v>0</v>
      </c>
      <c r="I133" s="67">
        <f t="shared" si="8"/>
        <v>0</v>
      </c>
      <c r="J133" s="120">
        <v>0</v>
      </c>
      <c r="K133" s="120">
        <f t="shared" ref="K133:K141" si="10">+J133*18%</f>
        <v>0</v>
      </c>
      <c r="L133" s="127">
        <f t="shared" si="9"/>
        <v>0</v>
      </c>
      <c r="M133" s="17" t="s">
        <v>12</v>
      </c>
    </row>
    <row r="134" spans="1:13" hidden="1" x14ac:dyDescent="0.25">
      <c r="A134" s="17" t="s">
        <v>421</v>
      </c>
      <c r="B134" s="88">
        <v>45940</v>
      </c>
      <c r="C134" s="17" t="s">
        <v>430</v>
      </c>
      <c r="D134" s="17" t="s">
        <v>34</v>
      </c>
      <c r="E134" s="99"/>
      <c r="F134" s="99">
        <v>5310</v>
      </c>
      <c r="G134" s="67">
        <v>5310</v>
      </c>
      <c r="H134" s="67">
        <v>0</v>
      </c>
      <c r="I134" s="67">
        <f t="shared" si="8"/>
        <v>0</v>
      </c>
      <c r="J134" s="120">
        <v>0</v>
      </c>
      <c r="K134" s="120">
        <f t="shared" si="10"/>
        <v>0</v>
      </c>
      <c r="L134" s="127">
        <f t="shared" si="9"/>
        <v>0</v>
      </c>
      <c r="M134" s="17" t="s">
        <v>12</v>
      </c>
    </row>
    <row r="135" spans="1:13" hidden="1" x14ac:dyDescent="0.25">
      <c r="A135" s="17" t="s">
        <v>85</v>
      </c>
      <c r="B135" s="88">
        <v>45940</v>
      </c>
      <c r="C135" s="17" t="s">
        <v>432</v>
      </c>
      <c r="D135" s="17" t="s">
        <v>34</v>
      </c>
      <c r="E135" s="99"/>
      <c r="F135" s="99">
        <v>5045</v>
      </c>
      <c r="G135" s="67">
        <v>5045</v>
      </c>
      <c r="H135" s="67">
        <v>0</v>
      </c>
      <c r="I135" s="67">
        <f t="shared" si="8"/>
        <v>0</v>
      </c>
      <c r="J135" s="120">
        <v>0</v>
      </c>
      <c r="K135" s="120">
        <f t="shared" si="10"/>
        <v>0</v>
      </c>
      <c r="L135" s="127">
        <f t="shared" si="9"/>
        <v>0</v>
      </c>
      <c r="M135" s="17" t="s">
        <v>12</v>
      </c>
    </row>
    <row r="136" spans="1:13" hidden="1" x14ac:dyDescent="0.25">
      <c r="A136" s="17" t="s">
        <v>435</v>
      </c>
      <c r="B136" s="88">
        <v>45940</v>
      </c>
      <c r="C136" s="17" t="s">
        <v>436</v>
      </c>
      <c r="D136" s="17" t="s">
        <v>34</v>
      </c>
      <c r="E136" s="99"/>
      <c r="F136" s="99">
        <v>9558</v>
      </c>
      <c r="G136" s="67"/>
      <c r="H136" s="67">
        <f t="shared" ref="H136:H137" si="11">+E136+F136-G136</f>
        <v>9558</v>
      </c>
      <c r="I136" s="67">
        <f t="shared" si="8"/>
        <v>1458.0000000000007</v>
      </c>
      <c r="J136" s="128"/>
      <c r="K136" s="120"/>
      <c r="L136" s="127"/>
      <c r="M136" s="17" t="s">
        <v>12</v>
      </c>
    </row>
    <row r="137" spans="1:13" hidden="1" x14ac:dyDescent="0.25">
      <c r="A137" s="17" t="s">
        <v>360</v>
      </c>
      <c r="B137" s="88">
        <v>45940</v>
      </c>
      <c r="C137" s="17" t="s">
        <v>437</v>
      </c>
      <c r="D137" s="17" t="s">
        <v>41</v>
      </c>
      <c r="E137" s="99"/>
      <c r="F137" s="99">
        <v>4602</v>
      </c>
      <c r="G137" s="67">
        <v>4602</v>
      </c>
      <c r="H137" s="67">
        <f t="shared" si="11"/>
        <v>0</v>
      </c>
      <c r="I137" s="67">
        <f t="shared" si="8"/>
        <v>0</v>
      </c>
      <c r="J137" s="128"/>
      <c r="K137" s="120"/>
      <c r="L137" s="127"/>
      <c r="M137" s="17" t="s">
        <v>12</v>
      </c>
    </row>
    <row r="138" spans="1:13" hidden="1" x14ac:dyDescent="0.25">
      <c r="A138" s="17" t="s">
        <v>371</v>
      </c>
      <c r="B138" s="88">
        <v>45940</v>
      </c>
      <c r="C138" s="17" t="s">
        <v>426</v>
      </c>
      <c r="D138" s="17" t="s">
        <v>137</v>
      </c>
      <c r="E138" s="99"/>
      <c r="F138" s="99">
        <v>7694</v>
      </c>
      <c r="G138" s="99">
        <v>7694</v>
      </c>
      <c r="H138" s="67">
        <v>0</v>
      </c>
      <c r="I138" s="67">
        <f t="shared" si="8"/>
        <v>0</v>
      </c>
      <c r="J138" s="128">
        <v>0</v>
      </c>
      <c r="K138" s="120">
        <f t="shared" si="10"/>
        <v>0</v>
      </c>
      <c r="L138" s="127">
        <f t="shared" si="9"/>
        <v>0</v>
      </c>
      <c r="M138" s="109" t="s">
        <v>301</v>
      </c>
    </row>
    <row r="139" spans="1:13" hidden="1" x14ac:dyDescent="0.25">
      <c r="A139" s="17" t="s">
        <v>371</v>
      </c>
      <c r="B139" s="88">
        <v>45940</v>
      </c>
      <c r="C139" s="17" t="s">
        <v>427</v>
      </c>
      <c r="D139" s="17" t="s">
        <v>372</v>
      </c>
      <c r="E139" s="99">
        <v>0</v>
      </c>
      <c r="F139" s="99">
        <v>33899</v>
      </c>
      <c r="G139" s="99">
        <v>32306</v>
      </c>
      <c r="H139" s="67">
        <v>1593</v>
      </c>
      <c r="I139" s="67">
        <f t="shared" si="8"/>
        <v>243.00000000000011</v>
      </c>
      <c r="K139" s="120">
        <f t="shared" si="10"/>
        <v>0</v>
      </c>
      <c r="L139" s="127">
        <f t="shared" si="9"/>
        <v>243.00000000000011</v>
      </c>
      <c r="M139" s="109" t="s">
        <v>301</v>
      </c>
    </row>
    <row r="140" spans="1:13" hidden="1" x14ac:dyDescent="0.25">
      <c r="A140" s="22" t="s">
        <v>424</v>
      </c>
      <c r="B140" s="86">
        <v>45940</v>
      </c>
      <c r="C140" s="22" t="s">
        <v>434</v>
      </c>
      <c r="D140" s="23" t="s">
        <v>41</v>
      </c>
      <c r="E140" s="99"/>
      <c r="F140" s="99">
        <v>13806</v>
      </c>
      <c r="G140" s="67"/>
      <c r="H140" s="67">
        <v>13806</v>
      </c>
      <c r="I140" s="67">
        <f t="shared" si="8"/>
        <v>2106.0000000000009</v>
      </c>
      <c r="K140" s="120">
        <f t="shared" si="10"/>
        <v>0</v>
      </c>
      <c r="L140" s="127">
        <f t="shared" si="9"/>
        <v>2106.0000000000009</v>
      </c>
      <c r="M140" s="17" t="s">
        <v>9</v>
      </c>
    </row>
    <row r="141" spans="1:13" hidden="1" x14ac:dyDescent="0.25">
      <c r="A141" s="22" t="s">
        <v>405</v>
      </c>
      <c r="B141" s="86">
        <v>45940</v>
      </c>
      <c r="C141" s="22" t="s">
        <v>429</v>
      </c>
      <c r="D141" s="23" t="s">
        <v>184</v>
      </c>
      <c r="E141" s="99"/>
      <c r="F141" s="99">
        <v>9558</v>
      </c>
      <c r="G141" s="67"/>
      <c r="H141" s="67">
        <v>9558</v>
      </c>
      <c r="I141" s="67">
        <f t="shared" si="8"/>
        <v>1458.0000000000007</v>
      </c>
      <c r="J141" s="128">
        <v>7169</v>
      </c>
      <c r="K141" s="120">
        <f t="shared" si="10"/>
        <v>1290.4199999999998</v>
      </c>
      <c r="L141" s="127">
        <f t="shared" si="9"/>
        <v>167.58000000000084</v>
      </c>
      <c r="M141" s="17" t="s">
        <v>9</v>
      </c>
    </row>
    <row r="142" spans="1:13" hidden="1" x14ac:dyDescent="0.25">
      <c r="A142" s="17" t="s">
        <v>361</v>
      </c>
      <c r="B142" s="88">
        <v>45940</v>
      </c>
      <c r="C142" s="17" t="s">
        <v>438</v>
      </c>
      <c r="D142" s="104" t="s">
        <v>362</v>
      </c>
      <c r="E142" s="99"/>
      <c r="F142" s="99">
        <v>318600</v>
      </c>
      <c r="G142" s="67">
        <v>318600</v>
      </c>
      <c r="H142" s="67">
        <f t="shared" ref="H142" si="12">+E142+F142-G142</f>
        <v>0</v>
      </c>
      <c r="I142" s="67">
        <f t="shared" si="8"/>
        <v>0</v>
      </c>
      <c r="M142" s="17" t="s">
        <v>6</v>
      </c>
    </row>
  </sheetData>
  <autoFilter ref="A1:M142">
    <filterColumn colId="1">
      <filters>
        <dateGroupItem year="2025" month="4" dateTimeGrouping="month"/>
        <dateGroupItem year="2025" month="5" dateTimeGrouping="month"/>
        <dateGroupItem year="2025" month="6" dateTimeGrouping="month"/>
        <dateGroupItem year="2025" month="7" dateTimeGrouping="month"/>
        <dateGroupItem year="2025" month="8" dateTimeGrouping="month"/>
        <dateGroupItem year="2025" month="9" dateTimeGrouping="month"/>
      </filters>
    </filterColumn>
    <filterColumn colId="7">
      <filters>
        <filter val="10044.00"/>
        <filter val="1033.00"/>
        <filter val="10902.00"/>
        <filter val="11051.00"/>
        <filter val="112195.00"/>
        <filter val="117228.00"/>
        <filter val="13861.00"/>
        <filter val="14160.00"/>
        <filter val="14178.00"/>
        <filter val="1421.00"/>
        <filter val="1498.00"/>
        <filter val="15134.00"/>
        <filter val="152810.00"/>
        <filter val="1534.00"/>
        <filter val="1593.00"/>
        <filter val="15930.00"/>
        <filter val="16739.00"/>
        <filter val="17949.00"/>
        <filter val="1918.00"/>
        <filter val="19295.00"/>
        <filter val="19380.00"/>
        <filter val="19596.00"/>
        <filter val="19646.00"/>
        <filter val="19985.00"/>
        <filter val="20982.00"/>
        <filter val="21240.00"/>
        <filter val="2142.00"/>
        <filter val="2360.00"/>
        <filter val="23648.00"/>
        <filter val="23954.00"/>
        <filter val="2478.00"/>
        <filter val="28320.00"/>
        <filter val="3682.00"/>
        <filter val="3716.00"/>
        <filter val="3880.00"/>
        <filter val="3956.00"/>
        <filter val="4374.00"/>
        <filter val="45635.00"/>
        <filter val="4618.00"/>
        <filter val="48255.00"/>
        <filter val="500.00"/>
        <filter val="51774.00"/>
        <filter val="5266.00"/>
        <filter val="5300.00"/>
        <filter val="5310.00"/>
        <filter val="5461.00"/>
        <filter val="5470.00"/>
        <filter val="5581.00"/>
        <filter val="5641.00"/>
        <filter val="5687.00"/>
        <filter val="59183.00"/>
        <filter val="5954.00"/>
        <filter val="6023.00"/>
        <filter val="6223.00"/>
        <filter val="6283.00"/>
        <filter val="6290.00"/>
        <filter val="6372.00"/>
        <filter val="6418.00"/>
        <filter val="67757.00"/>
        <filter val="681.00"/>
        <filter val="7800.00"/>
        <filter val="8239.00"/>
        <filter val="870.00"/>
        <filter val="873.00"/>
        <filter val="8968.00"/>
        <filter val="91607.00"/>
        <filter val="9416.00"/>
        <filter val="94551.00"/>
        <filter val="98530.0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selection activeCell="D14" sqref="D14"/>
    </sheetView>
  </sheetViews>
  <sheetFormatPr defaultRowHeight="15" x14ac:dyDescent="0.25"/>
  <cols>
    <col min="1" max="1" width="47" bestFit="1" customWidth="1"/>
    <col min="2" max="2" width="10.140625" bestFit="1" customWidth="1"/>
    <col min="3" max="3" width="15.85546875" bestFit="1" customWidth="1"/>
    <col min="4" max="4" width="42.140625" bestFit="1" customWidth="1"/>
    <col min="5" max="5" width="12" customWidth="1"/>
    <col min="6" max="6" width="24.42578125" bestFit="1" customWidth="1"/>
    <col min="7" max="7" width="8.5703125" bestFit="1" customWidth="1"/>
    <col min="9" max="9" width="37.140625" bestFit="1" customWidth="1"/>
  </cols>
  <sheetData>
    <row r="1" spans="1:9" ht="38.25" x14ac:dyDescent="0.25">
      <c r="A1" s="49" t="s">
        <v>0</v>
      </c>
      <c r="B1" s="50" t="s">
        <v>1</v>
      </c>
      <c r="C1" s="51" t="s">
        <v>2</v>
      </c>
      <c r="D1" s="52" t="s">
        <v>3</v>
      </c>
      <c r="E1" s="49" t="s">
        <v>191</v>
      </c>
      <c r="F1" s="54" t="s">
        <v>4</v>
      </c>
      <c r="G1" s="55" t="s">
        <v>5</v>
      </c>
      <c r="H1" s="78"/>
      <c r="I1" s="79" t="s">
        <v>195</v>
      </c>
    </row>
    <row r="2" spans="1:9" x14ac:dyDescent="0.25">
      <c r="A2" s="17" t="s">
        <v>162</v>
      </c>
      <c r="B2" s="24">
        <v>45822</v>
      </c>
      <c r="C2" s="17" t="s">
        <v>163</v>
      </c>
      <c r="D2" s="17" t="s">
        <v>7</v>
      </c>
      <c r="E2" s="67">
        <v>20051</v>
      </c>
      <c r="F2" s="17" t="s">
        <v>12</v>
      </c>
      <c r="G2" s="18">
        <v>18</v>
      </c>
      <c r="H2" s="80" t="s">
        <v>24</v>
      </c>
      <c r="I2" s="81">
        <v>45847</v>
      </c>
    </row>
    <row r="3" spans="1:9" x14ac:dyDescent="0.25">
      <c r="A3" s="17" t="s">
        <v>158</v>
      </c>
      <c r="B3" s="24">
        <v>45832</v>
      </c>
      <c r="C3" s="17" t="s">
        <v>178</v>
      </c>
      <c r="D3" s="17" t="s">
        <v>147</v>
      </c>
      <c r="E3" s="67">
        <v>1109</v>
      </c>
      <c r="F3" s="17" t="s">
        <v>12</v>
      </c>
      <c r="G3" s="18">
        <v>8</v>
      </c>
      <c r="H3" s="80" t="s">
        <v>25</v>
      </c>
      <c r="I3" s="11" t="s">
        <v>139</v>
      </c>
    </row>
    <row r="4" spans="1:9" x14ac:dyDescent="0.25">
      <c r="A4" s="17" t="s">
        <v>129</v>
      </c>
      <c r="B4" s="24">
        <v>45813</v>
      </c>
      <c r="C4" s="17" t="s">
        <v>138</v>
      </c>
      <c r="D4" s="17" t="s">
        <v>41</v>
      </c>
      <c r="E4" s="67">
        <v>2328</v>
      </c>
      <c r="F4" s="82" t="s">
        <v>9</v>
      </c>
      <c r="G4" s="18">
        <v>27</v>
      </c>
      <c r="H4" s="80" t="s">
        <v>24</v>
      </c>
      <c r="I4" s="81">
        <v>45846</v>
      </c>
    </row>
    <row r="5" spans="1:9" x14ac:dyDescent="0.25">
      <c r="A5" s="17" t="s">
        <v>20</v>
      </c>
      <c r="B5" s="24">
        <v>45818</v>
      </c>
      <c r="C5" s="17" t="s">
        <v>144</v>
      </c>
      <c r="D5" s="17" t="s">
        <v>7</v>
      </c>
      <c r="E5" s="67">
        <v>6979</v>
      </c>
      <c r="F5" s="82" t="s">
        <v>9</v>
      </c>
      <c r="G5" s="18">
        <v>22</v>
      </c>
      <c r="H5" s="80" t="s">
        <v>24</v>
      </c>
      <c r="I5" s="81">
        <v>45847</v>
      </c>
    </row>
    <row r="6" spans="1:9" x14ac:dyDescent="0.25">
      <c r="A6" s="17" t="s">
        <v>164</v>
      </c>
      <c r="B6" s="24">
        <v>45822</v>
      </c>
      <c r="C6" s="17" t="s">
        <v>165</v>
      </c>
      <c r="D6" s="17" t="s">
        <v>7</v>
      </c>
      <c r="E6" s="67">
        <v>19299</v>
      </c>
      <c r="F6" s="82" t="s">
        <v>9</v>
      </c>
      <c r="G6" s="18">
        <v>18</v>
      </c>
      <c r="H6" s="80" t="s">
        <v>24</v>
      </c>
      <c r="I6" s="11" t="s">
        <v>192</v>
      </c>
    </row>
    <row r="7" spans="1:9" x14ac:dyDescent="0.25">
      <c r="A7" s="17" t="s">
        <v>170</v>
      </c>
      <c r="B7" s="24">
        <v>45827</v>
      </c>
      <c r="C7" s="17" t="s">
        <v>174</v>
      </c>
      <c r="D7" s="17" t="s">
        <v>41</v>
      </c>
      <c r="E7" s="67">
        <v>14160</v>
      </c>
      <c r="F7" s="82" t="s">
        <v>9</v>
      </c>
      <c r="G7" s="18">
        <v>13</v>
      </c>
      <c r="H7" s="80" t="s">
        <v>24</v>
      </c>
      <c r="I7" s="81">
        <v>45848</v>
      </c>
    </row>
    <row r="8" spans="1:9" x14ac:dyDescent="0.25">
      <c r="A8" s="17" t="s">
        <v>108</v>
      </c>
      <c r="B8" s="24">
        <v>45772</v>
      </c>
      <c r="C8" s="17" t="s">
        <v>109</v>
      </c>
      <c r="D8" s="26" t="s">
        <v>13</v>
      </c>
      <c r="E8" s="67">
        <v>16426</v>
      </c>
      <c r="F8" s="83" t="s">
        <v>15</v>
      </c>
      <c r="G8" s="18">
        <v>68</v>
      </c>
      <c r="H8" s="80" t="s">
        <v>26</v>
      </c>
      <c r="I8" s="11" t="s">
        <v>139</v>
      </c>
    </row>
    <row r="9" spans="1:9" x14ac:dyDescent="0.25">
      <c r="A9" s="17" t="s">
        <v>108</v>
      </c>
      <c r="B9" s="24">
        <v>45800</v>
      </c>
      <c r="C9" s="17" t="s">
        <v>124</v>
      </c>
      <c r="D9" s="26" t="s">
        <v>125</v>
      </c>
      <c r="E9" s="67">
        <v>1061</v>
      </c>
      <c r="F9" s="83" t="s">
        <v>15</v>
      </c>
      <c r="G9" s="18">
        <v>40</v>
      </c>
      <c r="H9" s="80" t="s">
        <v>26</v>
      </c>
      <c r="I9" s="11" t="s">
        <v>139</v>
      </c>
    </row>
    <row r="10" spans="1:9" x14ac:dyDescent="0.25">
      <c r="A10" s="17" t="s">
        <v>145</v>
      </c>
      <c r="B10" s="24">
        <v>45818</v>
      </c>
      <c r="C10" s="17" t="s">
        <v>146</v>
      </c>
      <c r="D10" s="26" t="s">
        <v>7</v>
      </c>
      <c r="E10" s="67">
        <v>10793</v>
      </c>
      <c r="F10" s="83" t="s">
        <v>15</v>
      </c>
      <c r="G10" s="18">
        <v>22</v>
      </c>
      <c r="H10" s="80" t="s">
        <v>24</v>
      </c>
      <c r="I10" s="11" t="s">
        <v>139</v>
      </c>
    </row>
    <row r="11" spans="1:9" x14ac:dyDescent="0.25">
      <c r="A11" s="17" t="s">
        <v>60</v>
      </c>
      <c r="B11" s="24">
        <v>45822</v>
      </c>
      <c r="C11" s="17" t="s">
        <v>167</v>
      </c>
      <c r="D11" s="26" t="s">
        <v>7</v>
      </c>
      <c r="E11" s="67">
        <v>24841</v>
      </c>
      <c r="F11" s="83" t="s">
        <v>15</v>
      </c>
      <c r="G11" s="18">
        <v>18</v>
      </c>
      <c r="H11" s="80" t="s">
        <v>24</v>
      </c>
      <c r="I11" s="11" t="s">
        <v>139</v>
      </c>
    </row>
    <row r="12" spans="1:9" x14ac:dyDescent="0.25">
      <c r="A12" s="17" t="s">
        <v>168</v>
      </c>
      <c r="B12" s="24">
        <v>45822</v>
      </c>
      <c r="C12" s="17" t="s">
        <v>169</v>
      </c>
      <c r="D12" s="26" t="s">
        <v>7</v>
      </c>
      <c r="E12" s="67">
        <v>19597</v>
      </c>
      <c r="F12" s="83" t="s">
        <v>15</v>
      </c>
      <c r="G12" s="18">
        <v>18</v>
      </c>
      <c r="H12" s="80" t="s">
        <v>24</v>
      </c>
      <c r="I12" s="11" t="s">
        <v>139</v>
      </c>
    </row>
    <row r="13" spans="1:9" x14ac:dyDescent="0.25">
      <c r="A13" s="32" t="s">
        <v>136</v>
      </c>
      <c r="B13" s="33">
        <v>45811</v>
      </c>
      <c r="C13" s="32" t="s">
        <v>135</v>
      </c>
      <c r="D13" s="32" t="s">
        <v>123</v>
      </c>
      <c r="E13" s="34">
        <v>38350</v>
      </c>
      <c r="F13" s="39" t="s">
        <v>12</v>
      </c>
      <c r="G13" s="35">
        <v>29</v>
      </c>
      <c r="H13" s="58" t="s">
        <v>26</v>
      </c>
      <c r="I13" s="11" t="s">
        <v>193</v>
      </c>
    </row>
    <row r="14" spans="1:9" x14ac:dyDescent="0.25">
      <c r="A14" s="32" t="s">
        <v>149</v>
      </c>
      <c r="B14" s="33">
        <v>45818</v>
      </c>
      <c r="C14" s="32" t="s">
        <v>150</v>
      </c>
      <c r="D14" s="32" t="s">
        <v>147</v>
      </c>
      <c r="E14" s="34">
        <v>2761</v>
      </c>
      <c r="F14" s="39" t="s">
        <v>12</v>
      </c>
      <c r="G14" s="35">
        <v>22</v>
      </c>
      <c r="H14" s="58" t="s">
        <v>25</v>
      </c>
      <c r="I14" s="11" t="s">
        <v>139</v>
      </c>
    </row>
    <row r="15" spans="1:9" x14ac:dyDescent="0.25">
      <c r="A15" s="32" t="s">
        <v>154</v>
      </c>
      <c r="B15" s="33">
        <v>45820</v>
      </c>
      <c r="C15" s="32" t="s">
        <v>155</v>
      </c>
      <c r="D15" s="32" t="s">
        <v>34</v>
      </c>
      <c r="E15" s="34">
        <v>5310</v>
      </c>
      <c r="F15" s="39" t="s">
        <v>12</v>
      </c>
      <c r="G15" s="35">
        <v>20</v>
      </c>
      <c r="H15" s="58" t="s">
        <v>26</v>
      </c>
      <c r="I15" s="81">
        <v>45847</v>
      </c>
    </row>
    <row r="16" spans="1:9" x14ac:dyDescent="0.25">
      <c r="A16" s="32" t="s">
        <v>157</v>
      </c>
      <c r="B16" s="33">
        <v>45820</v>
      </c>
      <c r="C16" s="32" t="s">
        <v>156</v>
      </c>
      <c r="D16" s="32" t="s">
        <v>147</v>
      </c>
      <c r="E16" s="34">
        <v>873</v>
      </c>
      <c r="F16" s="39" t="s">
        <v>12</v>
      </c>
      <c r="G16" s="35">
        <v>20</v>
      </c>
      <c r="H16" s="58" t="s">
        <v>25</v>
      </c>
      <c r="I16" s="81">
        <v>45847</v>
      </c>
    </row>
    <row r="17" spans="1:9" x14ac:dyDescent="0.25">
      <c r="A17" s="32" t="s">
        <v>172</v>
      </c>
      <c r="B17" s="33">
        <v>45827</v>
      </c>
      <c r="C17" s="32" t="s">
        <v>173</v>
      </c>
      <c r="D17" s="32" t="s">
        <v>23</v>
      </c>
      <c r="E17" s="34">
        <v>9558</v>
      </c>
      <c r="F17" s="39" t="s">
        <v>12</v>
      </c>
      <c r="G17" s="35">
        <v>13</v>
      </c>
      <c r="H17" s="58" t="s">
        <v>26</v>
      </c>
      <c r="I17" s="11" t="s">
        <v>139</v>
      </c>
    </row>
    <row r="18" spans="1:9" x14ac:dyDescent="0.25">
      <c r="A18" s="32" t="s">
        <v>177</v>
      </c>
      <c r="B18" s="33">
        <v>45829</v>
      </c>
      <c r="C18" s="32" t="s">
        <v>176</v>
      </c>
      <c r="D18" s="32" t="s">
        <v>92</v>
      </c>
      <c r="E18" s="34">
        <v>25223</v>
      </c>
      <c r="F18" s="39" t="s">
        <v>12</v>
      </c>
      <c r="G18" s="35">
        <v>11</v>
      </c>
      <c r="H18" s="58" t="s">
        <v>26</v>
      </c>
      <c r="I18" s="81">
        <v>45847</v>
      </c>
    </row>
    <row r="19" spans="1:9" x14ac:dyDescent="0.25">
      <c r="A19" s="32" t="s">
        <v>85</v>
      </c>
      <c r="B19" s="33">
        <v>45832</v>
      </c>
      <c r="C19" s="32" t="s">
        <v>179</v>
      </c>
      <c r="D19" s="32" t="s">
        <v>34</v>
      </c>
      <c r="E19" s="34">
        <v>5310</v>
      </c>
      <c r="F19" s="39" t="s">
        <v>12</v>
      </c>
      <c r="G19" s="35">
        <v>8</v>
      </c>
      <c r="H19" s="58" t="s">
        <v>26</v>
      </c>
      <c r="I19" s="11" t="s">
        <v>139</v>
      </c>
    </row>
    <row r="20" spans="1:9" x14ac:dyDescent="0.25">
      <c r="A20" s="32" t="s">
        <v>171</v>
      </c>
      <c r="B20" s="33">
        <v>45834</v>
      </c>
      <c r="C20" s="32" t="s">
        <v>183</v>
      </c>
      <c r="D20" s="32" t="s">
        <v>23</v>
      </c>
      <c r="E20" s="34">
        <v>15930</v>
      </c>
      <c r="F20" s="39" t="s">
        <v>12</v>
      </c>
      <c r="G20" s="35">
        <v>6</v>
      </c>
      <c r="H20" s="58" t="s">
        <v>26</v>
      </c>
      <c r="I20" s="81">
        <v>45852</v>
      </c>
    </row>
    <row r="21" spans="1:9" x14ac:dyDescent="0.25">
      <c r="A21" s="32" t="s">
        <v>157</v>
      </c>
      <c r="B21" s="33">
        <v>45841</v>
      </c>
      <c r="C21" s="32" t="s">
        <v>189</v>
      </c>
      <c r="D21" s="32" t="s">
        <v>41</v>
      </c>
      <c r="E21" s="34">
        <v>9204</v>
      </c>
      <c r="F21" s="39" t="s">
        <v>12</v>
      </c>
      <c r="G21" s="35"/>
      <c r="H21" s="58" t="s">
        <v>24</v>
      </c>
      <c r="I21" s="11" t="s">
        <v>139</v>
      </c>
    </row>
    <row r="22" spans="1:9" x14ac:dyDescent="0.25">
      <c r="A22" s="32" t="s">
        <v>111</v>
      </c>
      <c r="B22" s="33">
        <v>45766</v>
      </c>
      <c r="C22" s="32" t="s">
        <v>110</v>
      </c>
      <c r="D22" s="32" t="s">
        <v>41</v>
      </c>
      <c r="E22" s="34">
        <v>9912</v>
      </c>
      <c r="F22" s="32" t="s">
        <v>9</v>
      </c>
      <c r="G22" s="35">
        <v>74</v>
      </c>
      <c r="H22" s="58" t="s">
        <v>24</v>
      </c>
      <c r="I22" s="81">
        <v>45847</v>
      </c>
    </row>
    <row r="23" spans="1:9" x14ac:dyDescent="0.25">
      <c r="A23" s="32" t="s">
        <v>133</v>
      </c>
      <c r="B23" s="33">
        <v>45811</v>
      </c>
      <c r="C23" s="32" t="s">
        <v>134</v>
      </c>
      <c r="D23" s="32" t="s">
        <v>41</v>
      </c>
      <c r="E23" s="34">
        <v>10620</v>
      </c>
      <c r="F23" s="32" t="s">
        <v>9</v>
      </c>
      <c r="G23" s="35">
        <v>29</v>
      </c>
      <c r="H23" s="58" t="s">
        <v>24</v>
      </c>
      <c r="I23" s="81">
        <v>45846</v>
      </c>
    </row>
    <row r="24" spans="1:9" x14ac:dyDescent="0.25">
      <c r="A24" s="32" t="s">
        <v>186</v>
      </c>
      <c r="B24" s="33">
        <v>45840</v>
      </c>
      <c r="C24" s="32" t="s">
        <v>185</v>
      </c>
      <c r="D24" s="32" t="s">
        <v>137</v>
      </c>
      <c r="E24" s="34">
        <v>2311</v>
      </c>
      <c r="F24" s="32" t="s">
        <v>15</v>
      </c>
      <c r="G24" s="35">
        <v>0</v>
      </c>
      <c r="H24" s="58" t="s">
        <v>26</v>
      </c>
      <c r="I24" s="81">
        <v>45847</v>
      </c>
    </row>
    <row r="25" spans="1:9" x14ac:dyDescent="0.25">
      <c r="E25" s="84">
        <f>SUM(E2:E24)</f>
        <v>272006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4:Q61"/>
  <sheetViews>
    <sheetView topLeftCell="D40" workbookViewId="0">
      <selection activeCell="O59" sqref="O59:O61"/>
    </sheetView>
  </sheetViews>
  <sheetFormatPr defaultRowHeight="15" x14ac:dyDescent="0.25"/>
  <cols>
    <col min="3" max="3" width="11.42578125" customWidth="1"/>
    <col min="5" max="5" width="14" bestFit="1" customWidth="1"/>
    <col min="10" max="10" width="13.5703125" customWidth="1"/>
    <col min="14" max="14" width="21.28515625" customWidth="1"/>
    <col min="15" max="15" width="16.28515625" bestFit="1" customWidth="1"/>
  </cols>
  <sheetData>
    <row r="4" spans="2:17" x14ac:dyDescent="0.25">
      <c r="C4" t="s">
        <v>87</v>
      </c>
    </row>
    <row r="5" spans="2:17" s="62" customFormat="1" ht="45" x14ac:dyDescent="0.25">
      <c r="C5" s="60"/>
      <c r="D5" s="60"/>
      <c r="E5" s="61"/>
      <c r="F5" s="61" t="s">
        <v>65</v>
      </c>
      <c r="G5" s="61" t="s">
        <v>69</v>
      </c>
      <c r="H5" s="61" t="s">
        <v>70</v>
      </c>
      <c r="I5" s="61" t="s">
        <v>71</v>
      </c>
      <c r="J5" s="61" t="s">
        <v>68</v>
      </c>
      <c r="K5" s="61" t="s">
        <v>72</v>
      </c>
      <c r="L5" s="61" t="s">
        <v>66</v>
      </c>
      <c r="M5" s="61"/>
      <c r="N5" s="61"/>
      <c r="O5" s="61" t="s">
        <v>91</v>
      </c>
      <c r="P5" s="61" t="s">
        <v>80</v>
      </c>
      <c r="Q5" s="61" t="s">
        <v>81</v>
      </c>
    </row>
    <row r="6" spans="2:17" x14ac:dyDescent="0.25">
      <c r="C6" s="16" t="s">
        <v>64</v>
      </c>
      <c r="D6" s="16">
        <v>-237600</v>
      </c>
      <c r="E6" s="11" t="s">
        <v>86</v>
      </c>
      <c r="F6" s="11">
        <f>D7+D6</f>
        <v>32400</v>
      </c>
      <c r="G6" s="11">
        <v>8100</v>
      </c>
      <c r="H6" s="11">
        <f>+F6+G6</f>
        <v>40500</v>
      </c>
      <c r="I6" s="11">
        <f>+H6/H8*100</f>
        <v>37.5</v>
      </c>
      <c r="J6" s="11">
        <f>40500*I6/100</f>
        <v>15187.5</v>
      </c>
      <c r="K6" s="11">
        <f>+J6/J8*100</f>
        <v>37.5</v>
      </c>
      <c r="L6" s="11">
        <f>+F6+G6-J6</f>
        <v>25312.5</v>
      </c>
      <c r="M6" s="12">
        <f>+L6/L8*100</f>
        <v>37.5</v>
      </c>
      <c r="N6" s="12" t="s">
        <v>83</v>
      </c>
      <c r="O6" s="204">
        <f>+L8-L7</f>
        <v>25312.5</v>
      </c>
      <c r="P6" s="204">
        <f>+O6*18%</f>
        <v>4556.25</v>
      </c>
      <c r="Q6" s="204">
        <f>+O6+P6</f>
        <v>29868.75</v>
      </c>
    </row>
    <row r="7" spans="2:17" x14ac:dyDescent="0.25">
      <c r="B7" s="11"/>
      <c r="C7" s="16" t="s">
        <v>63</v>
      </c>
      <c r="D7" s="16">
        <v>270000</v>
      </c>
      <c r="E7" s="11" t="s">
        <v>67</v>
      </c>
      <c r="F7" s="11"/>
      <c r="G7" s="11">
        <f>75600-8100</f>
        <v>67500</v>
      </c>
      <c r="H7" s="11">
        <f>+F7+G7</f>
        <v>67500</v>
      </c>
      <c r="I7" s="11">
        <f>+H7/H8*100</f>
        <v>62.5</v>
      </c>
      <c r="J7" s="11">
        <f>40500*I7/100</f>
        <v>25312.5</v>
      </c>
      <c r="K7" s="11">
        <f>+J7/J8*100</f>
        <v>62.5</v>
      </c>
      <c r="L7" s="11">
        <f>+G7-J7</f>
        <v>42187.5</v>
      </c>
      <c r="M7" s="12">
        <f>+L7/L8*100</f>
        <v>62.5</v>
      </c>
      <c r="N7" s="13" t="s">
        <v>82</v>
      </c>
      <c r="O7" s="205"/>
      <c r="P7" s="205"/>
      <c r="Q7" s="205"/>
    </row>
    <row r="8" spans="2:17" x14ac:dyDescent="0.25">
      <c r="C8" s="16"/>
      <c r="D8" s="16">
        <f>SUM(D6:D7)</f>
        <v>32400</v>
      </c>
      <c r="E8" s="11"/>
      <c r="F8" s="11">
        <f>SUM(F6:F7)</f>
        <v>32400</v>
      </c>
      <c r="G8" s="11">
        <f>SUM(G6:G7)</f>
        <v>75600</v>
      </c>
      <c r="H8" s="11">
        <f>SUM(H6:H7)</f>
        <v>108000</v>
      </c>
      <c r="I8" s="11"/>
      <c r="J8" s="11">
        <f>SUM(J6:J7)</f>
        <v>40500</v>
      </c>
      <c r="K8" s="11"/>
      <c r="L8" s="11">
        <f>SUM(L6:L7)</f>
        <v>67500</v>
      </c>
      <c r="M8" s="14"/>
      <c r="N8" s="14"/>
      <c r="O8" s="206"/>
      <c r="P8" s="206"/>
      <c r="Q8" s="206"/>
    </row>
    <row r="11" spans="2:17" x14ac:dyDescent="0.25">
      <c r="D11">
        <v>270000</v>
      </c>
    </row>
    <row r="12" spans="2:17" x14ac:dyDescent="0.25">
      <c r="D12">
        <v>25312.5</v>
      </c>
      <c r="J12" t="s">
        <v>74</v>
      </c>
      <c r="K12">
        <v>318600</v>
      </c>
    </row>
    <row r="13" spans="2:17" x14ac:dyDescent="0.25">
      <c r="D13">
        <v>-40500</v>
      </c>
      <c r="J13" t="s">
        <v>75</v>
      </c>
      <c r="K13">
        <f>-(40500*1.18)</f>
        <v>-47790</v>
      </c>
    </row>
    <row r="14" spans="2:17" x14ac:dyDescent="0.25">
      <c r="D14">
        <v>-237600</v>
      </c>
      <c r="J14" t="s">
        <v>76</v>
      </c>
      <c r="K14">
        <f>+K12+K13</f>
        <v>270810</v>
      </c>
    </row>
    <row r="15" spans="2:17" x14ac:dyDescent="0.25">
      <c r="D15">
        <f>SUM(D11:D14)</f>
        <v>17212.5</v>
      </c>
      <c r="J15" t="s">
        <v>77</v>
      </c>
      <c r="K15">
        <v>280368</v>
      </c>
    </row>
    <row r="16" spans="2:17" x14ac:dyDescent="0.25">
      <c r="K16">
        <f>+K15-K14</f>
        <v>9558</v>
      </c>
      <c r="L16" t="s">
        <v>73</v>
      </c>
    </row>
    <row r="17" spans="3:17" x14ac:dyDescent="0.25">
      <c r="J17" t="s">
        <v>78</v>
      </c>
      <c r="K17">
        <f>+L6*1.18</f>
        <v>29868.75</v>
      </c>
    </row>
    <row r="18" spans="3:17" x14ac:dyDescent="0.25">
      <c r="K18">
        <f>+K17-K16</f>
        <v>20310.75</v>
      </c>
      <c r="O18" t="s">
        <v>79</v>
      </c>
      <c r="P18">
        <f>+K18/1.18</f>
        <v>17212.5</v>
      </c>
    </row>
    <row r="23" spans="3:17" x14ac:dyDescent="0.25">
      <c r="K23">
        <v>270000</v>
      </c>
      <c r="O23">
        <f>67500-42187.5</f>
        <v>25312.5</v>
      </c>
    </row>
    <row r="24" spans="3:17" x14ac:dyDescent="0.25">
      <c r="K24">
        <v>-40500</v>
      </c>
    </row>
    <row r="25" spans="3:17" x14ac:dyDescent="0.25">
      <c r="E25">
        <v>40500</v>
      </c>
      <c r="K25">
        <f>SUM(K23:K24)</f>
        <v>229500</v>
      </c>
    </row>
    <row r="26" spans="3:17" x14ac:dyDescent="0.25">
      <c r="J26" t="s">
        <v>84</v>
      </c>
      <c r="K26">
        <v>237600</v>
      </c>
    </row>
    <row r="27" spans="3:17" x14ac:dyDescent="0.25">
      <c r="J27" t="s">
        <v>73</v>
      </c>
      <c r="K27">
        <f>+K26-K25</f>
        <v>8100</v>
      </c>
    </row>
    <row r="28" spans="3:17" x14ac:dyDescent="0.25">
      <c r="K28">
        <v>25312.5</v>
      </c>
    </row>
    <row r="29" spans="3:17" x14ac:dyDescent="0.25">
      <c r="K29">
        <f>+K28-K27</f>
        <v>17212.5</v>
      </c>
    </row>
    <row r="31" spans="3:17" x14ac:dyDescent="0.25">
      <c r="C31" s="1" t="s">
        <v>101</v>
      </c>
    </row>
    <row r="32" spans="3:17" s="59" customFormat="1" ht="45" x14ac:dyDescent="0.25">
      <c r="C32" s="60"/>
      <c r="D32" s="60"/>
      <c r="E32" s="61"/>
      <c r="F32" s="61" t="s">
        <v>65</v>
      </c>
      <c r="G32" s="61" t="s">
        <v>69</v>
      </c>
      <c r="H32" s="61" t="s">
        <v>70</v>
      </c>
      <c r="I32" s="61" t="s">
        <v>71</v>
      </c>
      <c r="J32" s="61" t="s">
        <v>68</v>
      </c>
      <c r="K32" s="61" t="s">
        <v>72</v>
      </c>
      <c r="L32" s="61" t="s">
        <v>100</v>
      </c>
      <c r="M32" s="61"/>
      <c r="N32" s="61"/>
      <c r="O32" s="61" t="s">
        <v>106</v>
      </c>
      <c r="P32" s="61" t="s">
        <v>80</v>
      </c>
      <c r="Q32" s="61" t="s">
        <v>81</v>
      </c>
    </row>
    <row r="33" spans="3:17" x14ac:dyDescent="0.25">
      <c r="C33" s="63" t="s">
        <v>103</v>
      </c>
      <c r="D33" s="16">
        <v>-237600</v>
      </c>
      <c r="E33" s="58" t="s">
        <v>104</v>
      </c>
      <c r="F33" s="11">
        <f>D34+D33</f>
        <v>32400</v>
      </c>
      <c r="G33" s="11">
        <v>8100</v>
      </c>
      <c r="H33" s="11">
        <f>+F33+G33</f>
        <v>40500</v>
      </c>
      <c r="I33" s="11">
        <f>+H33/H35*100</f>
        <v>37.5</v>
      </c>
      <c r="J33" s="11">
        <f>79000*I33/100</f>
        <v>29625</v>
      </c>
      <c r="K33" s="11">
        <f>+J33/J35*100</f>
        <v>37.5</v>
      </c>
      <c r="L33" s="11">
        <f>+F33+G33-J33</f>
        <v>10875</v>
      </c>
      <c r="M33" s="12">
        <f>+L33/L35*100</f>
        <v>37.5</v>
      </c>
      <c r="N33" s="58" t="s">
        <v>104</v>
      </c>
      <c r="O33" s="11">
        <v>49375</v>
      </c>
      <c r="P33" s="11">
        <f>+O33*18%</f>
        <v>8887.5</v>
      </c>
      <c r="Q33" s="11">
        <f>+O33+P33</f>
        <v>58262.5</v>
      </c>
    </row>
    <row r="34" spans="3:17" x14ac:dyDescent="0.25">
      <c r="C34" s="63" t="s">
        <v>102</v>
      </c>
      <c r="D34" s="16">
        <v>270000</v>
      </c>
      <c r="E34" s="58" t="s">
        <v>105</v>
      </c>
      <c r="F34" s="11"/>
      <c r="G34" s="11">
        <f>75600-8100</f>
        <v>67500</v>
      </c>
      <c r="H34" s="11">
        <f>+F34+G34</f>
        <v>67500</v>
      </c>
      <c r="I34" s="11">
        <f>+H34/H35*100</f>
        <v>62.5</v>
      </c>
      <c r="J34" s="11">
        <f>79000*I34/100</f>
        <v>49375</v>
      </c>
      <c r="K34" s="11">
        <f>+J34/J35*100</f>
        <v>62.5</v>
      </c>
      <c r="L34" s="11">
        <f>+G34-J34</f>
        <v>18125</v>
      </c>
      <c r="M34" s="12">
        <f>+L34/L35*100</f>
        <v>62.5</v>
      </c>
      <c r="N34" s="58" t="s">
        <v>105</v>
      </c>
      <c r="O34" s="11">
        <v>18125</v>
      </c>
      <c r="P34" s="11"/>
      <c r="Q34" s="11"/>
    </row>
    <row r="35" spans="3:17" x14ac:dyDescent="0.25">
      <c r="C35" s="16"/>
      <c r="D35" s="16">
        <f>SUM(D33:D34)</f>
        <v>32400</v>
      </c>
      <c r="E35" s="11"/>
      <c r="F35" s="11">
        <f>SUM(F33:F34)</f>
        <v>32400</v>
      </c>
      <c r="G35" s="11">
        <f>SUM(G33:G34)</f>
        <v>75600</v>
      </c>
      <c r="H35" s="11">
        <f>SUM(H33:H34)</f>
        <v>108000</v>
      </c>
      <c r="I35" s="11"/>
      <c r="J35" s="11">
        <v>79000</v>
      </c>
      <c r="K35" s="11"/>
      <c r="L35" s="11">
        <f>SUM(L33:L34)</f>
        <v>29000</v>
      </c>
      <c r="M35" s="11"/>
      <c r="N35" s="11"/>
      <c r="O35" s="11">
        <f>SUM(O33:O34)</f>
        <v>67500</v>
      </c>
      <c r="P35" s="11"/>
      <c r="Q35" s="11"/>
    </row>
    <row r="36" spans="3:17" x14ac:dyDescent="0.25">
      <c r="J36">
        <f>+H35-J35</f>
        <v>29000</v>
      </c>
    </row>
    <row r="41" spans="3:17" x14ac:dyDescent="0.25">
      <c r="N41" s="11" t="s">
        <v>99</v>
      </c>
      <c r="O41" s="11" t="s">
        <v>99</v>
      </c>
    </row>
    <row r="42" spans="3:17" x14ac:dyDescent="0.25">
      <c r="N42" s="11">
        <v>270000</v>
      </c>
      <c r="O42" s="11">
        <v>270000</v>
      </c>
    </row>
    <row r="43" spans="3:17" x14ac:dyDescent="0.25">
      <c r="N43" s="11">
        <v>49375</v>
      </c>
      <c r="O43" s="11">
        <v>47400</v>
      </c>
    </row>
    <row r="44" spans="3:17" x14ac:dyDescent="0.25">
      <c r="N44" s="11">
        <v>-79000</v>
      </c>
      <c r="O44" s="11">
        <f>-J35</f>
        <v>-79000</v>
      </c>
    </row>
    <row r="45" spans="3:17" x14ac:dyDescent="0.25">
      <c r="N45" s="11">
        <f>SUM(N42:N44)</f>
        <v>240375</v>
      </c>
      <c r="O45" s="11">
        <f>SUM(O42:O44)</f>
        <v>238400</v>
      </c>
    </row>
    <row r="46" spans="3:17" x14ac:dyDescent="0.25">
      <c r="N46" s="11">
        <v>-237600</v>
      </c>
      <c r="O46" s="11">
        <v>-237600</v>
      </c>
    </row>
    <row r="47" spans="3:17" x14ac:dyDescent="0.25">
      <c r="N47" s="11">
        <f>SUM(N45:N46)</f>
        <v>2775</v>
      </c>
      <c r="O47" s="11">
        <f>SUM(O45:O46)</f>
        <v>800</v>
      </c>
    </row>
    <row r="49" spans="3:17" x14ac:dyDescent="0.25">
      <c r="C49" t="s">
        <v>88</v>
      </c>
    </row>
    <row r="50" spans="3:17" ht="45" x14ac:dyDescent="0.25">
      <c r="C50" s="60"/>
      <c r="D50" s="60"/>
      <c r="E50" s="61"/>
      <c r="F50" s="61" t="s">
        <v>65</v>
      </c>
      <c r="G50" s="61" t="s">
        <v>69</v>
      </c>
      <c r="H50" s="61" t="s">
        <v>70</v>
      </c>
      <c r="I50" s="61" t="s">
        <v>71</v>
      </c>
      <c r="J50" s="61" t="s">
        <v>68</v>
      </c>
      <c r="K50" s="61" t="s">
        <v>72</v>
      </c>
      <c r="L50" s="61" t="s">
        <v>66</v>
      </c>
      <c r="M50" s="61"/>
      <c r="N50" s="61"/>
      <c r="O50" s="61" t="s">
        <v>90</v>
      </c>
      <c r="P50" s="61" t="s">
        <v>80</v>
      </c>
      <c r="Q50" s="61" t="s">
        <v>81</v>
      </c>
    </row>
    <row r="51" spans="3:17" x14ac:dyDescent="0.25">
      <c r="C51" s="16" t="s">
        <v>64</v>
      </c>
      <c r="D51" s="16">
        <v>-237600</v>
      </c>
      <c r="E51" s="11" t="s">
        <v>86</v>
      </c>
      <c r="F51" s="11">
        <f>D52+D51</f>
        <v>32400</v>
      </c>
      <c r="G51" s="11">
        <v>8100</v>
      </c>
      <c r="H51" s="11">
        <f>+F51+G51</f>
        <v>40500</v>
      </c>
      <c r="I51" s="11">
        <v>40</v>
      </c>
      <c r="J51" s="11">
        <f>79000*I51/100</f>
        <v>31600</v>
      </c>
      <c r="K51" s="11">
        <f>+J51/J53*100</f>
        <v>40</v>
      </c>
      <c r="L51" s="11">
        <f>+F51+G51-J51</f>
        <v>8900</v>
      </c>
      <c r="M51" s="12">
        <f>+L51/L53*100</f>
        <v>30.689655172413794</v>
      </c>
      <c r="N51" s="12" t="s">
        <v>83</v>
      </c>
      <c r="O51" s="204">
        <v>47400</v>
      </c>
      <c r="P51" s="204">
        <f>+O51*18%</f>
        <v>8532</v>
      </c>
      <c r="Q51" s="204">
        <f>+O51+P51</f>
        <v>55932</v>
      </c>
    </row>
    <row r="52" spans="3:17" x14ac:dyDescent="0.25">
      <c r="C52" s="16" t="s">
        <v>63</v>
      </c>
      <c r="D52" s="16">
        <v>270000</v>
      </c>
      <c r="E52" s="58" t="s">
        <v>89</v>
      </c>
      <c r="F52" s="11"/>
      <c r="G52" s="11">
        <f>75600-8100</f>
        <v>67500</v>
      </c>
      <c r="H52" s="11">
        <f>+F52+G52</f>
        <v>67500</v>
      </c>
      <c r="I52" s="11">
        <v>60</v>
      </c>
      <c r="J52" s="11">
        <f>79000*I52/100</f>
        <v>47400</v>
      </c>
      <c r="K52" s="11">
        <f>+J52/J53*100</f>
        <v>60</v>
      </c>
      <c r="L52" s="11">
        <f>+G52-J52</f>
        <v>20100</v>
      </c>
      <c r="M52" s="12">
        <f>+L52/L53*100</f>
        <v>69.310344827586206</v>
      </c>
      <c r="N52" s="13" t="s">
        <v>94</v>
      </c>
      <c r="O52" s="205"/>
      <c r="P52" s="205"/>
      <c r="Q52" s="205"/>
    </row>
    <row r="53" spans="3:17" x14ac:dyDescent="0.25">
      <c r="C53" s="16"/>
      <c r="D53" s="16">
        <f>SUM(D51:D52)</f>
        <v>32400</v>
      </c>
      <c r="E53" s="11"/>
      <c r="F53" s="11">
        <f>SUM(F51:F52)</f>
        <v>32400</v>
      </c>
      <c r="G53" s="11">
        <f>SUM(G51:G52)</f>
        <v>75600</v>
      </c>
      <c r="H53" s="11">
        <f>SUM(H51:H52)</f>
        <v>108000</v>
      </c>
      <c r="I53" s="11"/>
      <c r="J53" s="11">
        <v>79000</v>
      </c>
      <c r="K53" s="11"/>
      <c r="L53" s="11">
        <f>SUM(L51:L52)</f>
        <v>29000</v>
      </c>
      <c r="M53" s="14"/>
      <c r="N53" s="14"/>
      <c r="O53" s="206"/>
      <c r="P53" s="206"/>
      <c r="Q53" s="206"/>
    </row>
    <row r="57" spans="3:17" x14ac:dyDescent="0.25">
      <c r="C57" t="s">
        <v>118</v>
      </c>
    </row>
    <row r="58" spans="3:17" ht="45" x14ac:dyDescent="0.25">
      <c r="C58" s="60"/>
      <c r="D58" s="60"/>
      <c r="E58" s="61"/>
      <c r="F58" s="61" t="s">
        <v>65</v>
      </c>
      <c r="G58" s="61" t="s">
        <v>69</v>
      </c>
      <c r="H58" s="61" t="s">
        <v>70</v>
      </c>
      <c r="I58" s="61" t="s">
        <v>71</v>
      </c>
      <c r="J58" s="61" t="s">
        <v>68</v>
      </c>
      <c r="K58" s="61" t="s">
        <v>72</v>
      </c>
      <c r="L58" s="61" t="s">
        <v>66</v>
      </c>
      <c r="M58" s="61"/>
      <c r="N58" s="61"/>
      <c r="O58" s="61" t="s">
        <v>91</v>
      </c>
      <c r="P58" s="61" t="s">
        <v>80</v>
      </c>
      <c r="Q58" s="61" t="s">
        <v>81</v>
      </c>
    </row>
    <row r="59" spans="3:17" x14ac:dyDescent="0.25">
      <c r="C59" s="16" t="s">
        <v>64</v>
      </c>
      <c r="D59" s="16">
        <v>-237600</v>
      </c>
      <c r="E59" s="11" t="s">
        <v>86</v>
      </c>
      <c r="F59" s="11">
        <f>D60+D59</f>
        <v>32400</v>
      </c>
      <c r="G59" s="11">
        <v>8100</v>
      </c>
      <c r="H59" s="11">
        <f>+F59+G59</f>
        <v>40500</v>
      </c>
      <c r="I59" s="11">
        <f>+H59/H61*100</f>
        <v>37.5</v>
      </c>
      <c r="J59" s="11">
        <f>40500*I59/100</f>
        <v>15187.5</v>
      </c>
      <c r="K59" s="11">
        <f>+J59/J61*100</f>
        <v>37.5</v>
      </c>
      <c r="L59" s="11">
        <f>+F59+G59-J59</f>
        <v>25312.5</v>
      </c>
      <c r="M59" s="12">
        <f>+L59/L61*100</f>
        <v>37.5</v>
      </c>
      <c r="N59" s="201" t="s">
        <v>83</v>
      </c>
      <c r="O59" s="201">
        <f>+L61-L60</f>
        <v>25312.5</v>
      </c>
      <c r="P59" s="201">
        <f>+O59*18%</f>
        <v>4556.25</v>
      </c>
      <c r="Q59" s="201">
        <f>+O59+P59</f>
        <v>29868.75</v>
      </c>
    </row>
    <row r="60" spans="3:17" x14ac:dyDescent="0.25">
      <c r="C60" s="16" t="s">
        <v>63</v>
      </c>
      <c r="D60" s="16">
        <v>270000</v>
      </c>
      <c r="E60" s="11" t="s">
        <v>67</v>
      </c>
      <c r="F60" s="11"/>
      <c r="G60" s="11">
        <f>75600-8100</f>
        <v>67500</v>
      </c>
      <c r="H60" s="11">
        <f>+F60+G60</f>
        <v>67500</v>
      </c>
      <c r="I60" s="11">
        <f>+H60/H61*100</f>
        <v>62.5</v>
      </c>
      <c r="J60" s="11">
        <f>40500*I60/100</f>
        <v>25312.5</v>
      </c>
      <c r="K60" s="11">
        <f>+J60/J61*100</f>
        <v>62.5</v>
      </c>
      <c r="L60" s="11">
        <f>+G60-J60</f>
        <v>42187.5</v>
      </c>
      <c r="M60" s="12">
        <f>+L60/L61*100</f>
        <v>62.5</v>
      </c>
      <c r="N60" s="202"/>
      <c r="O60" s="202"/>
      <c r="P60" s="202"/>
      <c r="Q60" s="202"/>
    </row>
    <row r="61" spans="3:17" x14ac:dyDescent="0.25">
      <c r="C61" s="16"/>
      <c r="D61" s="16">
        <f>SUM(D59:D60)</f>
        <v>32400</v>
      </c>
      <c r="E61" s="11"/>
      <c r="F61" s="11">
        <f>SUM(F59:F60)</f>
        <v>32400</v>
      </c>
      <c r="G61" s="11">
        <f>SUM(G59:G60)</f>
        <v>75600</v>
      </c>
      <c r="H61" s="11">
        <f>SUM(H59:H60)</f>
        <v>108000</v>
      </c>
      <c r="I61" s="11"/>
      <c r="J61" s="11">
        <f>SUM(J59:J60)</f>
        <v>40500</v>
      </c>
      <c r="K61" s="11"/>
      <c r="L61" s="11">
        <f>SUM(L59:L60)</f>
        <v>67500</v>
      </c>
      <c r="M61" s="14"/>
      <c r="N61" s="203"/>
      <c r="O61" s="203"/>
      <c r="P61" s="203"/>
      <c r="Q61" s="203"/>
    </row>
  </sheetData>
  <mergeCells count="10">
    <mergeCell ref="N59:N61"/>
    <mergeCell ref="O51:O53"/>
    <mergeCell ref="P51:P53"/>
    <mergeCell ref="Q51:Q53"/>
    <mergeCell ref="Q6:Q8"/>
    <mergeCell ref="O6:O8"/>
    <mergeCell ref="P6:P8"/>
    <mergeCell ref="O59:O61"/>
    <mergeCell ref="P59:P61"/>
    <mergeCell ref="Q59:Q61"/>
  </mergeCells>
  <pageMargins left="0.16" right="0.16" top="0.74803149606299213" bottom="0.74803149606299213" header="0.31496062992125984" footer="0.31496062992125984"/>
  <pageSetup paperSize="9" scale="56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5"/>
  <sheetViews>
    <sheetView workbookViewId="0">
      <selection activeCell="A15" sqref="A15"/>
    </sheetView>
  </sheetViews>
  <sheetFormatPr defaultRowHeight="15" x14ac:dyDescent="0.25"/>
  <sheetData>
    <row r="4" spans="1:5" x14ac:dyDescent="0.25">
      <c r="A4">
        <v>22500</v>
      </c>
      <c r="B4">
        <v>26550</v>
      </c>
      <c r="C4">
        <v>225</v>
      </c>
      <c r="D4">
        <f>+B4-C4</f>
        <v>26325</v>
      </c>
      <c r="E4">
        <v>1348</v>
      </c>
    </row>
    <row r="5" spans="1:5" x14ac:dyDescent="0.25">
      <c r="A5">
        <v>21950</v>
      </c>
      <c r="B5">
        <v>25901</v>
      </c>
      <c r="C5">
        <v>220</v>
      </c>
      <c r="D5">
        <f>+B5-C5</f>
        <v>25681</v>
      </c>
      <c r="E5">
        <v>1425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 Salesmanwise Outstd Report</vt:lpstr>
      <vt:lpstr>gst 22.01.2026 </vt:lpstr>
      <vt:lpstr>Sheet4</vt:lpstr>
      <vt:lpstr>Sheet3</vt:lpstr>
      <vt:lpstr>Sheet1</vt:lpstr>
      <vt:lpstr>Sheet2</vt:lpstr>
      <vt:lpstr>' Salesmanwise Outstd Report'!Print_Area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Tanmoy</dc:creator>
  <cp:lastModifiedBy>Admin</cp:lastModifiedBy>
  <cp:lastPrinted>2026-03-30T06:33:42Z</cp:lastPrinted>
  <dcterms:created xsi:type="dcterms:W3CDTF">2025-02-22T06:18:56Z</dcterms:created>
  <dcterms:modified xsi:type="dcterms:W3CDTF">2026-04-02T09:45:11Z</dcterms:modified>
</cp:coreProperties>
</file>